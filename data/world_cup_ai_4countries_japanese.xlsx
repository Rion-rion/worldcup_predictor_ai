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daee6b6be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サマリー" sheetId="1" r:id="R55283db35fcc4202"/>
    <x:sheet xmlns:r="http://schemas.openxmlformats.org/officeDocument/2006/relationships" name="AI用_All_Players" sheetId="2" r:id="R43496f8e67a942de"/>
    <x:sheet xmlns:r="http://schemas.openxmlformats.org/officeDocument/2006/relationships" name="日本" sheetId="3" r:id="Rd9dffd47aff34a66"/>
    <x:sheet xmlns:r="http://schemas.openxmlformats.org/officeDocument/2006/relationships" name="オランダ" sheetId="4" r:id="R4cad877d7a814a28"/>
    <x:sheet xmlns:r="http://schemas.openxmlformats.org/officeDocument/2006/relationships" name="チュニジア" sheetId="5" r:id="R19981e21275c4872"/>
    <x:sheet xmlns:r="http://schemas.openxmlformats.org/officeDocument/2006/relationships" name="スウェーデン" sheetId="6" r:id="Rda676b70114246df"/>
    <x:sheet xmlns:r="http://schemas.openxmlformats.org/officeDocument/2006/relationships" name="出典・方法" sheetId="7" r:id="Rfc4dd14efc98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243B5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45e635c694bcb" /><Relationship Type="http://schemas.openxmlformats.org/officeDocument/2006/relationships/theme" Target="/xl/theme/theme1.xml" Id="R5af8ff2c96804539" /><Relationship Type="http://schemas.openxmlformats.org/officeDocument/2006/relationships/sharedStrings" Target="/xl/sharedStrings.xml" Id="R72d3f134f43d4609" /><Relationship Type="http://schemas.openxmlformats.org/officeDocument/2006/relationships/worksheet" Target="/xl/worksheets/sheet1.xml" Id="R55283db35fcc4202" /><Relationship Type="http://schemas.openxmlformats.org/officeDocument/2006/relationships/worksheet" Target="/xl/worksheets/sheet2.xml" Id="R43496f8e67a942de" /><Relationship Type="http://schemas.openxmlformats.org/officeDocument/2006/relationships/worksheet" Target="/xl/worksheets/sheet3.xml" Id="Rd9dffd47aff34a66" /><Relationship Type="http://schemas.openxmlformats.org/officeDocument/2006/relationships/worksheet" Target="/xl/worksheets/sheet4.xml" Id="R4cad877d7a814a28" /><Relationship Type="http://schemas.openxmlformats.org/officeDocument/2006/relationships/worksheet" Target="/xl/worksheets/sheet5.xml" Id="R19981e21275c4872" /><Relationship Type="http://schemas.openxmlformats.org/officeDocument/2006/relationships/worksheet" Target="/xl/worksheets/sheet6.xml" Id="Rda676b70114246df" /><Relationship Type="http://schemas.openxmlformats.org/officeDocument/2006/relationships/worksheet" Target="/xl/worksheets/sheet7.xml" Id="Rfc4dd14efc9840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df30b13dc641e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市場価値</c:v>
          </c:tx>
          <c:cat>
            <c:strRef>
              <c:f>'サマリー'!$A$5:$A$8</c:f>
              <c:strCache>
                <c:ptCount val="0"/>
              </c:strCache>
            </c:strRef>
          </c:cat>
          <c:val>
            <c:numRef>
              <c:f>'サマリー'!$C$5:$C$8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df30b13dc641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JPSummaryTable" displayName="JPSummaryTable" ref="A4:L8" headerRowCount="1" totalsRowCount="0" totalsRowShown="0">
  <x:tableColumns count="12">
    <x:tableColumn id="1" name="国"/>
    <x:tableColumn id="2" name="選手数"/>
    <x:tableColumn id="3" name="市場価値合計（百万€）"/>
    <x:tableColumn id="4" name="平均市場価値（百万€）"/>
    <x:tableColumn id="5" name="平均年齢"/>
    <x:tableColumn id="6" name="出場合計"/>
    <x:tableColumn id="7" name="出場時間合計"/>
    <x:tableColumn id="8" name="得点合計"/>
    <x:tableColumn id="9" name="アシスト合計"/>
    <x:tableColumn id="10" name="G+A合計"/>
    <x:tableColumn id="11" name="加重G+A/90"/>
    <x:tableColumn id="12" name="完全データ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IPlayersTable" displayName="AIPlayersTable" ref="A3:U107" headerRowCount="1" totalsRowCount="0" totalsRowShown="0">
  <x:tableColumns count="21">
    <x:tableColumn id="1" name="Country"/>
    <x:tableColumn id="2" name="Player"/>
    <x:tableColumn id="3" name="Position"/>
    <x:tableColumn id="4" name="Pos Group"/>
    <x:tableColumn id="5" name="Age"/>
    <x:tableColumn id="6" name="Market Value (€m)"/>
    <x:tableColumn id="7" name="Season"/>
    <x:tableColumn id="8" name="League(s)"/>
    <x:tableColumn id="9" name="Season Club(s)"/>
    <x:tableColumn id="10" name="Apps"/>
    <x:tableColumn id="11" name="Starts"/>
    <x:tableColumn id="12" name="Minutes"/>
    <x:tableColumn id="13" name="Goals"/>
    <x:tableColumn id="14" name="Assists"/>
    <x:tableColumn id="15" name="G+A"/>
    <x:tableColumn id="16" name="G+A / 90"/>
    <x:tableColumn id="17" name="Stats Coverage"/>
    <x:tableColumn id="18" name="Market Source URL"/>
    <x:tableColumn id="19" name="Stats Source"/>
    <x:tableColumn id="20" name="Stats URL"/>
    <x:tableColumn id="21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JP_Japan_Table" displayName="JP_Japan_Table" ref="A3:U29" headerRowCount="1" totalsRowCount="0" totalsRowShown="0">
  <x:tableColumns count="21">
    <x:tableColumn id="1" name="国"/>
    <x:tableColumn id="2" name="選手名"/>
    <x:tableColumn id="3" name="ポジション"/>
    <x:tableColumn id="4" name="区分"/>
    <x:tableColumn id="5" name="年齢"/>
    <x:tableColumn id="6" name="市場価値（百万€）"/>
    <x:tableColumn id="7" name="対象シーズン"/>
    <x:tableColumn id="8" name="リーグ"/>
    <x:tableColumn id="9" name="所属クラブ"/>
    <x:tableColumn id="10" name="出場"/>
    <x:tableColumn id="11" name="先発"/>
    <x:tableColumn id="12" name="出場時間（分）"/>
    <x:tableColumn id="13" name="得点"/>
    <x:tableColumn id="14" name="アシスト"/>
    <x:tableColumn id="15" name="G+A"/>
    <x:tableColumn id="16" name="90分あたりG+A"/>
    <x:tableColumn id="17" name="データ充足度"/>
    <x:tableColumn id="18" name="市場価値出典URL"/>
    <x:tableColumn id="19" name="スタッツ出典"/>
    <x:tableColumn id="20" name="スタッツURL"/>
    <x:tableColumn id="21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JP_Netherlands_Table" displayName="JP_Netherlands_Table" ref="A3:U29" headerRowCount="1" totalsRowCount="0" totalsRowShown="0">
  <x:tableColumns count="21">
    <x:tableColumn id="1" name="国"/>
    <x:tableColumn id="2" name="選手名"/>
    <x:tableColumn id="3" name="ポジション"/>
    <x:tableColumn id="4" name="区分"/>
    <x:tableColumn id="5" name="年齢"/>
    <x:tableColumn id="6" name="市場価値（百万€）"/>
    <x:tableColumn id="7" name="対象シーズン"/>
    <x:tableColumn id="8" name="リーグ"/>
    <x:tableColumn id="9" name="所属クラブ"/>
    <x:tableColumn id="10" name="出場"/>
    <x:tableColumn id="11" name="先発"/>
    <x:tableColumn id="12" name="出場時間（分）"/>
    <x:tableColumn id="13" name="得点"/>
    <x:tableColumn id="14" name="アシスト"/>
    <x:tableColumn id="15" name="G+A"/>
    <x:tableColumn id="16" name="90分あたりG+A"/>
    <x:tableColumn id="17" name="データ充足度"/>
    <x:tableColumn id="18" name="市場価値出典URL"/>
    <x:tableColumn id="19" name="スタッツ出典"/>
    <x:tableColumn id="20" name="スタッツURL"/>
    <x:tableColumn id="21" name="備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JP_Tunisia_Table" displayName="JP_Tunisia_Table" ref="A3:U29" headerRowCount="1" totalsRowCount="0" totalsRowShown="0">
  <x:tableColumns count="21">
    <x:tableColumn id="1" name="国"/>
    <x:tableColumn id="2" name="選手名"/>
    <x:tableColumn id="3" name="ポジション"/>
    <x:tableColumn id="4" name="区分"/>
    <x:tableColumn id="5" name="年齢"/>
    <x:tableColumn id="6" name="市場価値（百万€）"/>
    <x:tableColumn id="7" name="対象シーズン"/>
    <x:tableColumn id="8" name="リーグ"/>
    <x:tableColumn id="9" name="所属クラブ"/>
    <x:tableColumn id="10" name="出場"/>
    <x:tableColumn id="11" name="先発"/>
    <x:tableColumn id="12" name="出場時間（分）"/>
    <x:tableColumn id="13" name="得点"/>
    <x:tableColumn id="14" name="アシスト"/>
    <x:tableColumn id="15" name="G+A"/>
    <x:tableColumn id="16" name="90分あたりG+A"/>
    <x:tableColumn id="17" name="データ充足度"/>
    <x:tableColumn id="18" name="市場価値出典URL"/>
    <x:tableColumn id="19" name="スタッツ出典"/>
    <x:tableColumn id="20" name="スタッツURL"/>
    <x:tableColumn id="21" name="備考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JP_Sweden_Table" displayName="JP_Sweden_Table" ref="A3:U29" headerRowCount="1" totalsRowCount="0" totalsRowShown="0">
  <x:tableColumns count="21">
    <x:tableColumn id="1" name="国"/>
    <x:tableColumn id="2" name="選手名"/>
    <x:tableColumn id="3" name="ポジション"/>
    <x:tableColumn id="4" name="区分"/>
    <x:tableColumn id="5" name="年齢"/>
    <x:tableColumn id="6" name="市場価値（百万€）"/>
    <x:tableColumn id="7" name="対象シーズン"/>
    <x:tableColumn id="8" name="リーグ"/>
    <x:tableColumn id="9" name="所属クラブ"/>
    <x:tableColumn id="10" name="出場"/>
    <x:tableColumn id="11" name="先発"/>
    <x:tableColumn id="12" name="出場時間（分）"/>
    <x:tableColumn id="13" name="得点"/>
    <x:tableColumn id="14" name="アシスト"/>
    <x:tableColumn id="15" name="G+A"/>
    <x:tableColumn id="16" name="90分あたりG+A"/>
    <x:tableColumn id="17" name="データ充足度"/>
    <x:tableColumn id="18" name="市場価値出典URL"/>
    <x:tableColumn id="19" name="スタッツ出典"/>
    <x:tableColumn id="20" name="スタッツURL"/>
    <x:tableColumn id="21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f49d3a91834cfe" /><Relationship Type="http://schemas.openxmlformats.org/officeDocument/2006/relationships/table" Target="/xl/tables/table1.xml" Id="Rab155c9484284b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1ffee8dfd042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6f7b1144c8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4dcbcbf31349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5c27f7f61db40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761882efa14d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1" hidden="0" customWidth="1"/>
    <x:col min="4" max="4" width="21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4" hidden="0" customWidth="1"/>
    <x:col min="10" max="10" width="12" hidden="0" customWidth="1"/>
    <x:col min="11" max="11" width="16" hidden="0" customWidth="1"/>
    <x:col min="12" max="12" width="14" hidden="0" customWidth="1"/>
    <x:col min="13" max="13" width="2" hidden="0" customWidth="1"/>
  </x:cols>
  <x:sheetData>
    <x:row r="1" ht="30" customHeight="1">
      <x:c r="A1" s="4" t="str">
        <x:v>2026 ワールドカップAI — 4カ国比較サマリー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0" t="str">
        <x:v>日本・オランダ・チュニジア・スウェーデンの市場価値と直近リーグ戦成績を比較。AI処理には「AI用_All_Players」を使用してください。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国</x:v>
      </x:c>
      <x:c r="B4" s="18" t="str">
        <x:v>選手数</x:v>
      </x:c>
      <x:c r="C4" s="18" t="str">
        <x:v>市場価値合計（百万€）</x:v>
      </x:c>
      <x:c r="D4" s="18" t="str">
        <x:v>平均市場価値（百万€）</x:v>
      </x:c>
      <x:c r="E4" s="18" t="str">
        <x:v>平均年齢</x:v>
      </x:c>
      <x:c r="F4" s="18" t="str">
        <x:v>出場合計</x:v>
      </x:c>
      <x:c r="G4" s="18" t="str">
        <x:v>出場時間合計</x:v>
      </x:c>
      <x:c r="H4" s="18" t="str">
        <x:v>得点合計</x:v>
      </x:c>
      <x:c r="I4" s="18" t="str">
        <x:v>アシスト合計</x:v>
      </x:c>
      <x:c r="J4" s="18" t="str">
        <x:v>G+A合計</x:v>
      </x:c>
      <x:c r="K4" s="18" t="str">
        <x:v>加重G+A/90</x:v>
      </x:c>
      <x:c r="L4" s="18" t="str">
        <x:v>完全データ行</x:v>
      </x:c>
      <x:c r="M4" t="str">
        <x:v>CountryKey</x:v>
      </x:c>
    </x:row>
    <x:row r="5">
      <x:c r="A5" t="str">
        <x:v>日本</x:v>
      </x:c>
      <x:c r="B5" t="n">
        <x:f>COUNTIF('AI用_All_Players'!$A$4:$A$107,M5)</x:f>
        <x:v>26</x:v>
      </x:c>
      <x:c r="C5" s="34" t="n">
        <x:f>SUMIF('AI用_All_Players'!$A$4:$A$107,M5,'AI用_All_Players'!$F$4:$F$107)</x:f>
        <x:v>270.85</x:v>
      </x:c>
      <x:c r="D5" s="34" t="n">
        <x:f>IF(B5=0,"",C5/B5)</x:f>
        <x:v>10.417307692307693</x:v>
      </x:c>
      <x:c r="E5" s="36" t="n">
        <x:f>AVERAGEIF('AI用_All_Players'!$A$4:$A$107,M5,'AI用_All_Players'!$E$4:$E$107)</x:f>
        <x:v>26.96153846153846</x:v>
      </x:c>
      <x:c r="F5" t="n">
        <x:f>SUMIF('AI用_All_Players'!$A$4:$A$107,M5,'AI用_All_Players'!$J$4:$J$107)</x:f>
        <x:v>734</x:v>
      </x:c>
      <x:c r="G5" t="n">
        <x:f>SUMIF('AI用_All_Players'!$A$4:$A$107,M5,'AI用_All_Players'!$L$4:$L$107)</x:f>
        <x:v>52742</x:v>
      </x:c>
      <x:c r="H5" t="n">
        <x:f>SUMIF('AI用_All_Players'!$A$4:$A$107,M5,'AI用_All_Players'!$M$4:$M$107)</x:f>
        <x:v>110</x:v>
      </x:c>
      <x:c r="I5" t="n">
        <x:f>SUMIF('AI用_All_Players'!$A$4:$A$107,M5,'AI用_All_Players'!$N$4:$N$107)</x:f>
        <x:v>51</x:v>
      </x:c>
      <x:c r="J5" t="n">
        <x:f>H5+I5</x:f>
        <x:v>161</x:v>
      </x:c>
      <x:c r="K5" s="34" t="n">
        <x:f>IF(G5=0,"",J5*90/G5)</x:f>
        <x:v>0.2747336088885518</x:v>
      </x:c>
      <x:c r="L5" t="n">
        <x:f>COUNTIFS('AI用_All_Players'!$A$4:$A$107,M5,'AI用_All_Players'!$Q$4:$Q$107,"Full")</x:f>
        <x:v>25</x:v>
      </x:c>
      <x:c r="M5" t="str">
        <x:v>Japan</x:v>
      </x:c>
    </x:row>
    <x:row r="6">
      <x:c r="A6" t="str">
        <x:v>オランダ</x:v>
      </x:c>
      <x:c r="B6" t="n">
        <x:f>COUNTIF('AI用_All_Players'!$A$4:$A$107,M6)</x:f>
        <x:v>26</x:v>
      </x:c>
      <x:c r="C6" s="34" t="n">
        <x:f>SUMIF('AI用_All_Players'!$A$4:$A$107,M6,'AI用_All_Players'!$F$4:$F$107)</x:f>
        <x:v>754.2</x:v>
      </x:c>
      <x:c r="D6" s="34" t="n">
        <x:f>IF(B6=0,"",C6/B6)</x:f>
        <x:v>29.00769230769231</x:v>
      </x:c>
      <x:c r="E6" s="36" t="n">
        <x:f>AVERAGEIF('AI用_All_Players'!$A$4:$A$107,M6,'AI用_All_Players'!$E$4:$E$107)</x:f>
        <x:v>27.423076923076923</x:v>
      </x:c>
      <x:c r="F6" t="n">
        <x:f>SUMIF('AI用_All_Players'!$A$4:$A$107,M6,'AI用_All_Players'!$J$4:$J$107)</x:f>
        <x:v>775</x:v>
      </x:c>
      <x:c r="G6" t="n">
        <x:f>SUMIF('AI用_All_Players'!$A$4:$A$107,M6,'AI用_All_Players'!$L$4:$L$107)</x:f>
        <x:v>55524</x:v>
      </x:c>
      <x:c r="H6" t="n">
        <x:f>SUMIF('AI用_All_Players'!$A$4:$A$107,M6,'AI用_All_Players'!$M$4:$M$107)</x:f>
        <x:v>100</x:v>
      </x:c>
      <x:c r="I6" t="n">
        <x:f>SUMIF('AI用_All_Players'!$A$4:$A$107,M6,'AI用_All_Players'!$N$4:$N$107)</x:f>
        <x:v>51</x:v>
      </x:c>
      <x:c r="J6" t="n">
        <x:f>H6+I6</x:f>
        <x:v>151</x:v>
      </x:c>
      <x:c r="K6" s="34" t="n">
        <x:f>IF(G6=0,"",J6*90/G6)</x:f>
        <x:v>0.2447590231251351</x:v>
      </x:c>
      <x:c r="L6" t="n">
        <x:f>COUNTIFS('AI用_All_Players'!$A$4:$A$107,M6,'AI用_All_Players'!$Q$4:$Q$107,"Full")</x:f>
        <x:v>26</x:v>
      </x:c>
      <x:c r="M6" t="str">
        <x:v>Netherlands</x:v>
      </x:c>
    </x:row>
    <x:row r="7">
      <x:c r="A7" t="str">
        <x:v>チュニジア</x:v>
      </x:c>
      <x:c r="B7" t="n">
        <x:f>COUNTIF('AI用_All_Players'!$A$4:$A$107,M7)</x:f>
        <x:v>26</x:v>
      </x:c>
      <x:c r="C7" s="34" t="n">
        <x:f>SUMIF('AI用_All_Players'!$A$4:$A$107,M7,'AI用_All_Players'!$F$4:$F$107)</x:f>
        <x:v>69.95</x:v>
      </x:c>
      <x:c r="D7" s="34" t="n">
        <x:f>IF(B7=0,"",C7/B7)</x:f>
        <x:v>2.6903846153846156</x:v>
      </x:c>
      <x:c r="E7" s="36" t="n">
        <x:f>AVERAGEIF('AI用_All_Players'!$A$4:$A$107,M7,'AI用_All_Players'!$E$4:$E$107)</x:f>
        <x:v>26.26923076923077</x:v>
      </x:c>
      <x:c r="F7" t="n">
        <x:f>SUMIF('AI用_All_Players'!$A$4:$A$107,M7,'AI用_All_Players'!$J$4:$J$107)</x:f>
        <x:v>602</x:v>
      </x:c>
      <x:c r="G7" t="n">
        <x:f>SUMIF('AI用_All_Players'!$A$4:$A$107,M7,'AI用_All_Players'!$L$4:$L$107)</x:f>
        <x:v>43828</x:v>
      </x:c>
      <x:c r="H7" t="n">
        <x:f>SUMIF('AI用_All_Players'!$A$4:$A$107,M7,'AI用_All_Players'!$M$4:$M$107)</x:f>
        <x:v>49</x:v>
      </x:c>
      <x:c r="I7" t="n">
        <x:f>SUMIF('AI用_All_Players'!$A$4:$A$107,M7,'AI用_All_Players'!$N$4:$N$107)</x:f>
        <x:v>34</x:v>
      </x:c>
      <x:c r="J7" t="n">
        <x:f>H7+I7</x:f>
        <x:v>83</x:v>
      </x:c>
      <x:c r="K7" s="34" t="n">
        <x:f>IF(G7=0,"",J7*90/G7)</x:f>
        <x:v>0.17043898877429953</x:v>
      </x:c>
      <x:c r="L7" t="n">
        <x:f>COUNTIFS('AI用_All_Players'!$A$4:$A$107,M7,'AI用_All_Players'!$Q$4:$Q$107,"Full")</x:f>
        <x:v>24</x:v>
      </x:c>
      <x:c r="M7" t="str">
        <x:v>Tunisia</x:v>
      </x:c>
    </x:row>
    <x:row r="8">
      <x:c r="A8" t="str">
        <x:v>スウェーデン</x:v>
      </x:c>
      <x:c r="B8" t="n">
        <x:f>COUNTIF('AI用_All_Players'!$A$4:$A$107,M8)</x:f>
        <x:v>26</x:v>
      </x:c>
      <x:c r="C8" s="34" t="n">
        <x:f>SUMIF('AI用_All_Players'!$A$4:$A$107,M8,'AI用_All_Players'!$F$4:$F$107)</x:f>
        <x:v>414.075</x:v>
      </x:c>
      <x:c r="D8" s="34" t="n">
        <x:f>IF(B8=0,"",C8/B8)</x:f>
        <x:v>15.925961538461538</x:v>
      </x:c>
      <x:c r="E8" s="36" t="n">
        <x:f>AVERAGEIF('AI用_All_Players'!$A$4:$A$107,M8,'AI用_All_Players'!$E$4:$E$107)</x:f>
        <x:v>27.26923076923077</x:v>
      </x:c>
      <x:c r="F8" t="n">
        <x:f>SUMIF('AI用_All_Players'!$A$4:$A$107,M8,'AI用_All_Players'!$J$4:$J$107)</x:f>
        <x:v>704</x:v>
      </x:c>
      <x:c r="G8" t="n">
        <x:f>SUMIF('AI用_All_Players'!$A$4:$A$107,M8,'AI用_All_Players'!$L$4:$L$107)</x:f>
        <x:v>43743</x:v>
      </x:c>
      <x:c r="H8" t="n">
        <x:f>SUMIF('AI用_All_Players'!$A$4:$A$107,M8,'AI用_All_Players'!$M$4:$M$107)</x:f>
        <x:v>75</x:v>
      </x:c>
      <x:c r="I8" t="n">
        <x:f>SUMIF('AI用_All_Players'!$A$4:$A$107,M8,'AI用_All_Players'!$N$4:$N$107)</x:f>
        <x:v>47</x:v>
      </x:c>
      <x:c r="J8" t="n">
        <x:f>H8+I8</x:f>
        <x:v>122</x:v>
      </x:c>
      <x:c r="K8" s="34" t="n">
        <x:f>IF(G8=0,"",J8*90/G8)</x:f>
        <x:v>0.2510115904258967</x:v>
      </x:c>
      <x:c r="L8" t="n">
        <x:f>COUNTIFS('AI用_All_Players'!$A$4:$A$107,M8,'AI用_All_Players'!$Q$4:$Q$107,"Full")</x:f>
        <x:v>19</x:v>
      </x:c>
      <x:c r="M8" t="str">
        <x:v>Sweden</x:v>
      </x:c>
    </x:row>
    <x:row r="11">
      <x:c r="A11" s="18" t="str">
        <x:v>データセット概要</x:v>
      </x:c>
      <x:c r="B11" s="18" t="str">
        <x:v>値</x:v>
      </x:c>
    </x:row>
    <x:row r="12">
      <x:c r="A12" t="str">
        <x:v>総選手数</x:v>
      </x:c>
      <x:c r="B12" t="n">
        <x:f>COUNTA('AI用_All_Players'!$B$4:$B$107)</x:f>
        <x:v>104</x:v>
      </x:c>
    </x:row>
    <x:row r="13">
      <x:c r="A13" t="str">
        <x:v>市場価値総額（百万€）</x:v>
      </x:c>
      <x:c r="B13" s="34" t="n">
        <x:f>SUM('AI用_All_Players'!$F$4:$F$107)</x:f>
        <x:v>1509.0749999999998</x:v>
      </x:c>
    </x:row>
    <x:row r="14">
      <x:c r="A14" t="str">
        <x:v>完全データ行数</x:v>
      </x:c>
      <x:c r="B14" t="n">
        <x:f>COUNTIF('AI用_All_Players'!$Q$4:$Q$107,"Full")</x:f>
        <x:v>94</x:v>
      </x:c>
    </x:row>
    <x:row r="15">
      <x:c r="A15" t="str">
        <x:v>作成日</x:v>
      </x:c>
      <x:c r="B15" t="str">
        <x:v>2026-08-27</x:v>
      </x:c>
    </x:row>
  </x:sheetData>
  <x:mergeCells>
    <x:mergeCell ref="A1:L1"/>
    <x:mergeCell ref="A2:L2"/>
  </x:mergeCells>
  <x:conditionalFormatting sqref="C5:C8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{496B2652-D7B1-29C8-0E94-41832D6F3B0B}</x14:id>
        </x:ext>
      </x:extLst>
    </x:cfRule>
  </x:conditionalFormatting>
  <x:conditionalFormatting sqref="K5:K8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59f49d3a91834cfe"/>
  <x:tableParts count="1">
    <x:tablePart xmlns:r="http://schemas.openxmlformats.org/officeDocument/2006/relationships" r:id="Rab155c9484284be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96B2652-D7B1-29C8-0E94-41832D6F3B0B}">
            <x14:dataBar gradient="1">
              <x14:cfvo type="min"/>
              <x14:cfvo type="max"/>
              <x14:fillColor rgb="FF4F81BD"/>
            </x14:dataBar>
          </x14:cfRule>
          <xm:sqref>C5:C8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0" hidden="0" customWidth="1"/>
    <x:col min="5" max="5" width="7" hidden="0" customWidth="1"/>
    <x:col min="6" max="6" width="16" hidden="0" customWidth="1"/>
    <x:col min="7" max="7" width="14" hidden="0" customWidth="1"/>
    <x:col min="8" max="8" width="27" hidden="0" customWidth="1"/>
    <x:col min="9" max="9" width="30" hidden="0" customWidth="1"/>
    <x:col min="10" max="10" width="8" hidden="0" customWidth="1"/>
    <x:col min="11" max="11" width="8" hidden="0" customWidth="1"/>
    <x:col min="12" max="12" width="12" hidden="0" customWidth="1"/>
    <x:col min="13" max="13" width="8" hidden="0" customWidth="1"/>
    <x:col min="14" max="14" width="9" hidden="0" customWidth="1"/>
    <x:col min="15" max="15" width="8" hidden="0" customWidth="1"/>
    <x:col min="16" max="16" width="12" hidden="0" customWidth="1"/>
    <x:col min="17" max="17" width="13" hidden="0" customWidth="1"/>
    <x:col min="18" max="18" width="38" hidden="0" customWidth="1"/>
    <x:col min="19" max="19" width="18" hidden="0" customWidth="1"/>
    <x:col min="20" max="20" width="38" hidden="0" customWidth="1"/>
    <x:col min="21" max="21" width="46" hidden="0" customWidth="1"/>
  </x:cols>
  <x:sheetData>
    <x:row r="1" ht="28" customHeight="1">
      <x:c r="A1" s="4" t="str">
        <x:v>AI用データ — 4カ国選手データセット（列名は英語固定）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8" customHeight="1">
      <x:c r="A2" s="10" t="str">
        <x:v>Python / pandas / AIモデルで扱いやすいよう、列名とカテゴリ値は英語のまま維持しています。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34" customHeight="1">
      <x:c r="A3" s="18" t="str">
        <x:v>Country</x:v>
      </x:c>
      <x:c r="B3" s="18" t="str">
        <x:v>Player</x:v>
      </x:c>
      <x:c r="C3" s="18" t="str">
        <x:v>Position</x:v>
      </x:c>
      <x:c r="D3" s="18" t="str">
        <x:v>Pos Group</x:v>
      </x:c>
      <x:c r="E3" s="18" t="str">
        <x:v>Age</x:v>
      </x:c>
      <x:c r="F3" s="18" t="str">
        <x:v>Market Value (€m)</x:v>
      </x:c>
      <x:c r="G3" s="18" t="str">
        <x:v>Season</x:v>
      </x:c>
      <x:c r="H3" s="18" t="str">
        <x:v>League(s)</x:v>
      </x:c>
      <x:c r="I3" s="18" t="str">
        <x:v>Season Club(s)</x:v>
      </x:c>
      <x:c r="J3" s="18" t="str">
        <x:v>Apps</x:v>
      </x:c>
      <x:c r="K3" s="18" t="str">
        <x:v>Starts</x:v>
      </x:c>
      <x:c r="L3" s="18" t="str">
        <x:v>Minutes</x:v>
      </x:c>
      <x:c r="M3" s="18" t="str">
        <x:v>Goals</x:v>
      </x:c>
      <x:c r="N3" s="18" t="str">
        <x:v>Assists</x:v>
      </x:c>
      <x:c r="O3" s="18" t="str">
        <x:v>G+A</x:v>
      </x:c>
      <x:c r="P3" s="18" t="str">
        <x:v>G+A / 90</x:v>
      </x:c>
      <x:c r="Q3" s="18" t="str">
        <x:v>Stats Coverage</x:v>
      </x:c>
      <x:c r="R3" s="18" t="str">
        <x:v>Market Source URL</x:v>
      </x:c>
      <x:c r="S3" s="18" t="str">
        <x:v>Stats Source</x:v>
      </x:c>
      <x:c r="T3" s="18" t="str">
        <x:v>Stats URL</x:v>
      </x:c>
      <x:c r="U3" s="18" t="str">
        <x:v>Notes</x:v>
      </x:c>
    </x:row>
    <x:row r="4">
      <x:c r="A4" s="26" t="str">
        <x:v>Japan</x:v>
      </x:c>
      <x:c r="B4" s="26" t="str">
        <x:v>Zion Suzuki</x:v>
      </x:c>
      <x:c r="C4" s="26" t="str">
        <x:v>Goalkeeper</x:v>
      </x:c>
      <x:c r="D4" s="26" t="str">
        <x:v>GK</x:v>
      </x:c>
      <x:c r="E4" s="28" t="n">
        <x:v>23</x:v>
      </x:c>
      <x:c r="F4" s="30" t="n">
        <x:v>20</x:v>
      </x:c>
      <x:c r="G4" s="26" t="str">
        <x:v>2025/26</x:v>
      </x:c>
      <x:c r="H4" s="26" t="str">
        <x:v>Serie A</x:v>
      </x:c>
      <x:c r="I4" s="26" t="str">
        <x:v>Parma</x:v>
      </x:c>
      <x:c r="J4" s="28" t="n">
        <x:v>20</x:v>
      </x:c>
      <x:c r="K4" s="28" t="n">
        <x:v>20</x:v>
      </x:c>
      <x:c r="L4" s="28" t="n">
        <x:v>1800</x:v>
      </x:c>
      <x:c r="M4" s="28" t="n">
        <x:v>0</x:v>
      </x:c>
      <x:c r="N4" s="28" t="n">
        <x:v>0</x:v>
      </x:c>
      <x:c r="O4" s="28" t="n">
        <x:f>IF(COUNT(M4:N4)&lt;2,"",SUM(M4:N4))</x:f>
        <x:v>0</x:v>
      </x:c>
      <x:c r="P4" s="32" t="n">
        <x:f>IF(OR(COUNT(L4)=0,L4=0,COUNT(O4)=0),"",O4*90/L4)</x:f>
        <x:v>0</x:v>
      </x:c>
      <x:c r="Q4" s="26" t="str">
        <x:f>IF(COUNT(J4:N4)=5,"Full","Partial")</x:f>
        <x:v>Full</x:v>
      </x:c>
      <x:c r="R4" s="26" t="str">
        <x:v>https://www.transfermarkt.us/japan/kader/verein/3435/saison_id/2026</x:v>
      </x:c>
      <x:c r="S4" s="26" t="str">
        <x:v>FBref</x:v>
      </x:c>
      <x:c r="T4" s="26" t="str">
        <x:v>https://fbref.com/en/search/search.fcgi?search=Zion+Suzuki</x:v>
      </x:c>
      <x:c r="U4" s="26"/>
    </x:row>
    <x:row r="5">
      <x:c r="A5" s="26" t="str">
        <x:v>Japan</x:v>
      </x:c>
      <x:c r="B5" s="26" t="str">
        <x:v>Keisuke Osako</x:v>
      </x:c>
      <x:c r="C5" s="26" t="str">
        <x:v>Goalkeeper</x:v>
      </x:c>
      <x:c r="D5" s="26" t="str">
        <x:v>GK</x:v>
      </x:c>
      <x:c r="E5" s="28" t="n">
        <x:v>26</x:v>
      </x:c>
      <x:c r="F5" s="30" t="n">
        <x:v>2</x:v>
      </x:c>
      <x:c r="G5" s="26" t="str">
        <x:v>2025</x:v>
      </x:c>
      <x:c r="H5" s="26" t="str">
        <x:v>J1 League</x:v>
      </x:c>
      <x:c r="I5" s="26" t="str">
        <x:v>Sanfrecce Hiroshima</x:v>
      </x:c>
      <x:c r="J5" s="28" t="n">
        <x:v>38</x:v>
      </x:c>
      <x:c r="K5" s="28" t="n">
        <x:v>38</x:v>
      </x:c>
      <x:c r="L5" s="28" t="n">
        <x:v>3420</x:v>
      </x:c>
      <x:c r="M5" s="28" t="n">
        <x:v>0</x:v>
      </x:c>
      <x:c r="N5" s="28" t="n">
        <x:v>0</x:v>
      </x:c>
      <x:c r="O5" s="28" t="n">
        <x:f>IF(COUNT(M5:N5)&lt;2,"",SUM(M5:N5))</x:f>
        <x:v>0</x:v>
      </x:c>
      <x:c r="P5" s="32" t="n">
        <x:f>IF(OR(COUNT(L5)=0,L5=0,COUNT(O5)=0),"",O5*90/L5)</x:f>
        <x:v>0</x:v>
      </x:c>
      <x:c r="Q5" s="26" t="str">
        <x:f>IF(COUNT(J5:N5)=5,"Full","Partial")</x:f>
        <x:v>Full</x:v>
      </x:c>
      <x:c r="R5" s="26" t="str">
        <x:v>https://www.transfermarkt.us/japan/kader/verein/3435/saison_id/2026</x:v>
      </x:c>
      <x:c r="S5" s="26" t="str">
        <x:v>FBref</x:v>
      </x:c>
      <x:c r="T5" s="26" t="str">
        <x:v>https://fbref.com/en/search/search.fcgi?search=Keisuke+Osako</x:v>
      </x:c>
      <x:c r="U5" s="26"/>
    </x:row>
    <x:row r="6">
      <x:c r="A6" s="26" t="str">
        <x:v>Japan</x:v>
      </x:c>
      <x:c r="B6" s="26" t="str">
        <x:v>Tomoki Hayakawa</x:v>
      </x:c>
      <x:c r="C6" s="26" t="str">
        <x:v>Goalkeeper</x:v>
      </x:c>
      <x:c r="D6" s="26" t="str">
        <x:v>GK</x:v>
      </x:c>
      <x:c r="E6" s="28" t="n">
        <x:v>27</x:v>
      </x:c>
      <x:c r="F6" s="30" t="n">
        <x:v>2</x:v>
      </x:c>
      <x:c r="G6" s="26" t="str">
        <x:v>2025</x:v>
      </x:c>
      <x:c r="H6" s="26" t="str">
        <x:v>J1 League</x:v>
      </x:c>
      <x:c r="I6" s="26" t="str">
        <x:v>Kashima Antlers</x:v>
      </x:c>
      <x:c r="J6" s="28" t="n">
        <x:v>38</x:v>
      </x:c>
      <x:c r="K6" s="28" t="n">
        <x:v>38</x:v>
      </x:c>
      <x:c r="L6" s="28" t="n">
        <x:v>3420</x:v>
      </x:c>
      <x:c r="M6" s="28" t="n">
        <x:v>0</x:v>
      </x:c>
      <x:c r="N6" s="28" t="n">
        <x:v>1</x:v>
      </x:c>
      <x:c r="O6" s="28" t="n">
        <x:f>IF(COUNT(M6:N6)&lt;2,"",SUM(M6:N6))</x:f>
        <x:v>1</x:v>
      </x:c>
      <x:c r="P6" s="32" t="n">
        <x:f>IF(OR(COUNT(L6)=0,L6=0,COUNT(O6)=0),"",O6*90/L6)</x:f>
        <x:v>0.02631578947368421</x:v>
      </x:c>
      <x:c r="Q6" s="26" t="str">
        <x:f>IF(COUNT(J6:N6)=5,"Full","Partial")</x:f>
        <x:v>Full</x:v>
      </x:c>
      <x:c r="R6" s="26" t="str">
        <x:v>https://www.transfermarkt.us/japan/kader/verein/3435/saison_id/2026</x:v>
      </x:c>
      <x:c r="S6" s="26" t="str">
        <x:v>FBref</x:v>
      </x:c>
      <x:c r="T6" s="26" t="str">
        <x:v>https://fbref.com/en/search/search.fcgi?search=Tomoki+Hayakawa</x:v>
      </x:c>
      <x:c r="U6" s="26"/>
    </x:row>
    <x:row r="7">
      <x:c r="A7" s="26" t="str">
        <x:v>Japan</x:v>
      </x:c>
      <x:c r="B7" s="26" t="str">
        <x:v>Hiroki Ito</x:v>
      </x:c>
      <x:c r="C7" s="26" t="str">
        <x:v>Centre-Back</x:v>
      </x:c>
      <x:c r="D7" s="26" t="str">
        <x:v>DF</x:v>
      </x:c>
      <x:c r="E7" s="28" t="n">
        <x:v>27</x:v>
      </x:c>
      <x:c r="F7" s="30" t="n">
        <x:v>18</x:v>
      </x:c>
      <x:c r="G7" s="26" t="str">
        <x:v>2025/26</x:v>
      </x:c>
      <x:c r="H7" s="26" t="str">
        <x:v>Bundesliga</x:v>
      </x:c>
      <x:c r="I7" s="26" t="str">
        <x:v>Bayern Munich</x:v>
      </x:c>
      <x:c r="J7" s="28" t="n">
        <x:v>16</x:v>
      </x:c>
      <x:c r="K7" s="28" t="n">
        <x:v>10</x:v>
      </x:c>
      <x:c r="L7" s="28" t="n">
        <x:v>921</x:v>
      </x:c>
      <x:c r="M7" s="28" t="n">
        <x:v>1</x:v>
      </x:c>
      <x:c r="N7" s="28" t="n">
        <x:v>2</x:v>
      </x:c>
      <x:c r="O7" s="28" t="n">
        <x:f>IF(COUNT(M7:N7)&lt;2,"",SUM(M7:N7))</x:f>
        <x:v>3</x:v>
      </x:c>
      <x:c r="P7" s="32" t="n">
        <x:f>IF(OR(COUNT(L7)=0,L7=0,COUNT(O7)=0),"",O7*90/L7)</x:f>
        <x:v>0.2931596091205212</x:v>
      </x:c>
      <x:c r="Q7" s="26" t="str">
        <x:f>IF(COUNT(J7:N7)=5,"Full","Partial")</x:f>
        <x:v>Full</x:v>
      </x:c>
      <x:c r="R7" s="26" t="str">
        <x:v>https://www.transfermarkt.us/japan/kader/verein/3435/saison_id/2026</x:v>
      </x:c>
      <x:c r="S7" s="26" t="str">
        <x:v>FBref</x:v>
      </x:c>
      <x:c r="T7" s="26" t="str">
        <x:v>https://fbref.com/en/search/search.fcgi?search=Hiroki+Ito</x:v>
      </x:c>
      <x:c r="U7" s="26"/>
    </x:row>
    <x:row r="8">
      <x:c r="A8" s="26" t="str">
        <x:v>Japan</x:v>
      </x:c>
      <x:c r="B8" s="26" t="str">
        <x:v>Tsuyoshi Watanabe</x:v>
      </x:c>
      <x:c r="C8" s="26" t="str">
        <x:v>Centre-Back</x:v>
      </x:c>
      <x:c r="D8" s="26" t="str">
        <x:v>DF</x:v>
      </x:c>
      <x:c r="E8" s="28" t="n">
        <x:v>29</x:v>
      </x:c>
      <x:c r="F8" s="30" t="n">
        <x:v>10</x:v>
      </x:c>
      <x:c r="G8" s="26" t="str">
        <x:v>2025/26</x:v>
      </x:c>
      <x:c r="H8" s="26" t="str">
        <x:v>Eredivisie</x:v>
      </x:c>
      <x:c r="I8" s="26" t="str">
        <x:v>Feyenoord</x:v>
      </x:c>
      <x:c r="J8" s="28" t="n">
        <x:v>30</x:v>
      </x:c>
      <x:c r="K8" s="28" t="n">
        <x:v>30</x:v>
      </x:c>
      <x:c r="L8" s="28" t="n">
        <x:v>2637</x:v>
      </x:c>
      <x:c r="M8" s="28" t="n">
        <x:v>2</x:v>
      </x:c>
      <x:c r="N8" s="28" t="n">
        <x:v>0</x:v>
      </x:c>
      <x:c r="O8" s="28" t="n">
        <x:f>IF(COUNT(M8:N8)&lt;2,"",SUM(M8:N8))</x:f>
        <x:v>2</x:v>
      </x:c>
      <x:c r="P8" s="32" t="n">
        <x:f>IF(OR(COUNT(L8)=0,L8=0,COUNT(O8)=0),"",O8*90/L8)</x:f>
        <x:v>0.06825938566552901</x:v>
      </x:c>
      <x:c r="Q8" s="26" t="str">
        <x:f>IF(COUNT(J8:N8)=5,"Full","Partial")</x:f>
        <x:v>Full</x:v>
      </x:c>
      <x:c r="R8" s="26" t="str">
        <x:v>https://www.transfermarkt.us/japan/kader/verein/3435/saison_id/2026</x:v>
      </x:c>
      <x:c r="S8" s="26" t="str">
        <x:v>Transfermarkt</x:v>
      </x:c>
      <x:c r="T8" s="26" t="str">
        <x:v>https://www.transfermarkt.com/schnellsuche/ergebnis/schnellsuche?query=Tsuyoshi+Watanabe</x:v>
      </x:c>
      <x:c r="U8" s="26"/>
    </x:row>
    <x:row r="9">
      <x:c r="A9" s="26" t="str">
        <x:v>Japan</x:v>
      </x:c>
      <x:c r="B9" s="26" t="str">
        <x:v>Ko Itakura</x:v>
      </x:c>
      <x:c r="C9" s="26" t="str">
        <x:v>Centre-Back</x:v>
      </x:c>
      <x:c r="D9" s="26" t="str">
        <x:v>DF</x:v>
      </x:c>
      <x:c r="E9" s="28" t="n">
        <x:v>29</x:v>
      </x:c>
      <x:c r="F9" s="30" t="n">
        <x:v>8</x:v>
      </x:c>
      <x:c r="G9" s="26" t="str">
        <x:v>2025/26</x:v>
      </x:c>
      <x:c r="H9" s="26" t="str">
        <x:v>Eredivisie</x:v>
      </x:c>
      <x:c r="I9" s="26" t="str">
        <x:v>Ajax</x:v>
      </x:c>
      <x:c r="J9" s="28" t="n">
        <x:v>19</x:v>
      </x:c>
      <x:c r="K9" s="28" t="n">
        <x:v>16</x:v>
      </x:c>
      <x:c r="L9" s="28" t="n">
        <x:v>1380</x:v>
      </x:c>
      <x:c r="M9" s="28" t="n">
        <x:v>1</x:v>
      </x:c>
      <x:c r="N9" s="28" t="n">
        <x:v>0</x:v>
      </x:c>
      <x:c r="O9" s="28" t="n">
        <x:f>IF(COUNT(M9:N9)&lt;2,"",SUM(M9:N9))</x:f>
        <x:v>1</x:v>
      </x:c>
      <x:c r="P9" s="32" t="n">
        <x:f>IF(OR(COUNT(L9)=0,L9=0,COUNT(O9)=0),"",O9*90/L9)</x:f>
        <x:v>0.06521739130434782</x:v>
      </x:c>
      <x:c r="Q9" s="26" t="str">
        <x:f>IF(COUNT(J9:N9)=5,"Full","Partial")</x:f>
        <x:v>Full</x:v>
      </x:c>
      <x:c r="R9" s="26" t="str">
        <x:v>https://www.transfermarkt.us/japan/kader/verein/3435/saison_id/2026</x:v>
      </x:c>
      <x:c r="S9" s="26" t="str">
        <x:v>Transfermarkt</x:v>
      </x:c>
      <x:c r="T9" s="26" t="str">
        <x:v>https://www.transfermarkt.com/schnellsuche/ergebnis/schnellsuche?query=Ko+Itakura</x:v>
      </x:c>
      <x:c r="U9" s="26"/>
    </x:row>
    <x:row r="10">
      <x:c r="A10" s="26" t="str">
        <x:v>Japan</x:v>
      </x:c>
      <x:c r="B10" s="26" t="str">
        <x:v>Ayumu Seko</x:v>
      </x:c>
      <x:c r="C10" s="26" t="str">
        <x:v>Centre-Back</x:v>
      </x:c>
      <x:c r="D10" s="26" t="str">
        <x:v>DF</x:v>
      </x:c>
      <x:c r="E10" s="28" t="n">
        <x:v>26</x:v>
      </x:c>
      <x:c r="F10" s="30" t="n">
        <x:v>5</x:v>
      </x:c>
      <x:c r="G10" s="26" t="str">
        <x:v>2025/26</x:v>
      </x:c>
      <x:c r="H10" s="26" t="str">
        <x:v>Ligue 1</x:v>
      </x:c>
      <x:c r="I10" s="26" t="str">
        <x:v>Le Havre</x:v>
      </x:c>
      <x:c r="J10" s="28" t="n">
        <x:v>30</x:v>
      </x:c>
      <x:c r="K10" s="28" t="n">
        <x:v>29</x:v>
      </x:c>
      <x:c r="L10" s="28" t="n">
        <x:v>2625</x:v>
      </x:c>
      <x:c r="M10" s="28" t="n">
        <x:v>0</x:v>
      </x:c>
      <x:c r="N10" s="28" t="n">
        <x:v>0</x:v>
      </x:c>
      <x:c r="O10" s="28" t="n">
        <x:f>IF(COUNT(M10:N10)&lt;2,"",SUM(M10:N10))</x:f>
        <x:v>0</x:v>
      </x:c>
      <x:c r="P10" s="32" t="n">
        <x:f>IF(OR(COUNT(L10)=0,L10=0,COUNT(O10)=0),"",O10*90/L10)</x:f>
        <x:v>0</x:v>
      </x:c>
      <x:c r="Q10" s="26" t="str">
        <x:f>IF(COUNT(J10:N10)=5,"Full","Partial")</x:f>
        <x:v>Full</x:v>
      </x:c>
      <x:c r="R10" s="26" t="str">
        <x:v>https://www.transfermarkt.us/japan/kader/verein/3435/saison_id/2026</x:v>
      </x:c>
      <x:c r="S10" s="26" t="str">
        <x:v>Transfermarkt</x:v>
      </x:c>
      <x:c r="T10" s="26" t="str">
        <x:v>https://www.transfermarkt.com/schnellsuche/ergebnis/schnellsuche?query=Ayumu+Seko</x:v>
      </x:c>
      <x:c r="U10" s="26"/>
    </x:row>
    <x:row r="11">
      <x:c r="A11" s="26" t="str">
        <x:v>Japan</x:v>
      </x:c>
      <x:c r="B11" s="26" t="str">
        <x:v>Takehiro Tomiyasu</x:v>
      </x:c>
      <x:c r="C11" s="26" t="str">
        <x:v>Centre-Back</x:v>
      </x:c>
      <x:c r="D11" s="26" t="str">
        <x:v>DF</x:v>
      </x:c>
      <x:c r="E11" s="28" t="n">
        <x:v>27</x:v>
      </x:c>
      <x:c r="F11" s="30" t="n">
        <x:v>5</x:v>
      </x:c>
      <x:c r="G11" s="26" t="str">
        <x:v>2025/26</x:v>
      </x:c>
      <x:c r="H11" s="26" t="str">
        <x:v>Eredivisie</x:v>
      </x:c>
      <x:c r="I11" s="26" t="str">
        <x:v>Ajax</x:v>
      </x:c>
      <x:c r="J11" s="28" t="n">
        <x:v>9</x:v>
      </x:c>
      <x:c r="K11" s="28" t="n">
        <x:v>2</x:v>
      </x:c>
      <x:c r="L11" s="28" t="n">
        <x:v>236</x:v>
      </x:c>
      <x:c r="M11" s="28" t="n">
        <x:v>0</x:v>
      </x:c>
      <x:c r="N11" s="28" t="n">
        <x:v>1</x:v>
      </x:c>
      <x:c r="O11" s="28" t="n">
        <x:f>IF(COUNT(M11:N11)&lt;2,"",SUM(M11:N11))</x:f>
        <x:v>1</x:v>
      </x:c>
      <x:c r="P11" s="32" t="n">
        <x:f>IF(OR(COUNT(L11)=0,L11=0,COUNT(O11)=0),"",O11*90/L11)</x:f>
        <x:v>0.3813559322033898</x:v>
      </x:c>
      <x:c r="Q11" s="26" t="str">
        <x:f>IF(COUNT(J11:N11)=5,"Full","Partial")</x:f>
        <x:v>Full</x:v>
      </x:c>
      <x:c r="R11" s="26" t="str">
        <x:v>https://www.transfermarkt.us/japan/kader/verein/3435/saison_id/2026</x:v>
      </x:c>
      <x:c r="S11" s="26" t="str">
        <x:v>Transfermarkt</x:v>
      </x:c>
      <x:c r="T11" s="26" t="str">
        <x:v>https://www.transfermarkt.com/schnellsuche/ergebnis/schnellsuche?query=Takehiro+Tomiyasu</x:v>
      </x:c>
      <x:c r="U11" s="26"/>
    </x:row>
    <x:row r="12">
      <x:c r="A12" s="26" t="str">
        <x:v>Japan</x:v>
      </x:c>
      <x:c r="B12" s="26" t="str">
        <x:v>Junnosuke Suzuki</x:v>
      </x:c>
      <x:c r="C12" s="26" t="str">
        <x:v>Centre-Back</x:v>
      </x:c>
      <x:c r="D12" s="26" t="str">
        <x:v>DF</x:v>
      </x:c>
      <x:c r="E12" s="28" t="n">
        <x:v>22</x:v>
      </x:c>
      <x:c r="F12" s="30" t="n">
        <x:v>3.5</x:v>
      </x:c>
      <x:c r="G12" s="26" t="str">
        <x:v>2025/26</x:v>
      </x:c>
      <x:c r="H12" s="26" t="str">
        <x:v>Danish Superliga</x:v>
      </x:c>
      <x:c r="I12" s="26" t="str">
        <x:v>FC Copenhagen</x:v>
      </x:c>
      <x:c r="J12" s="28" t="n">
        <x:v>22</x:v>
      </x:c>
      <x:c r="K12" s="28" t="n">
        <x:v>21</x:v>
      </x:c>
      <x:c r="L12" s="28" t="n">
        <x:v>1892</x:v>
      </x:c>
      <x:c r="M12" s="28" t="n">
        <x:v>2</x:v>
      </x:c>
      <x:c r="N12" s="28" t="n">
        <x:v>0</x:v>
      </x:c>
      <x:c r="O12" s="28" t="n">
        <x:f>IF(COUNT(M12:N12)&lt;2,"",SUM(M12:N12))</x:f>
        <x:v>2</x:v>
      </x:c>
      <x:c r="P12" s="32" t="n">
        <x:f>IF(OR(COUNT(L12)=0,L12=0,COUNT(O12)=0),"",O12*90/L12)</x:f>
        <x:v>0.09513742071881606</x:v>
      </x:c>
      <x:c r="Q12" s="26" t="str">
        <x:f>IF(COUNT(J12:N12)=5,"Full","Partial")</x:f>
        <x:v>Full</x:v>
      </x:c>
      <x:c r="R12" s="26" t="str">
        <x:v>https://www.transfermarkt.us/japan/kader/verein/3435/saison_id/2026</x:v>
      </x:c>
      <x:c r="S12" s="26" t="str">
        <x:v>Transfermarkt</x:v>
      </x:c>
      <x:c r="T12" s="26" t="str">
        <x:v>https://www.transfermarkt.com/schnellsuche/ergebnis/schnellsuche?query=Junnosuke+Suzuki</x:v>
      </x:c>
      <x:c r="U12" s="26"/>
    </x:row>
    <x:row r="13">
      <x:c r="A13" s="26" t="str">
        <x:v>Japan</x:v>
      </x:c>
      <x:c r="B13" s="26" t="str">
        <x:v>Shogo Taniguchi</x:v>
      </x:c>
      <x:c r="C13" s="26" t="str">
        <x:v>Centre-Back</x:v>
      </x:c>
      <x:c r="D13" s="26" t="str">
        <x:v>DF</x:v>
      </x:c>
      <x:c r="E13" s="28" t="n">
        <x:v>34</x:v>
      </x:c>
      <x:c r="F13" s="30" t="n">
        <x:v>0.75</x:v>
      </x:c>
      <x:c r="G13" s="26" t="str">
        <x:v>2025/26</x:v>
      </x:c>
      <x:c r="H13" s="26" t="str">
        <x:v>Belgian Pro League</x:v>
      </x:c>
      <x:c r="I13" s="26" t="str">
        <x:v>Sint-Truiden</x:v>
      </x:c>
      <x:c r="J13" s="28" t="n">
        <x:v>38</x:v>
      </x:c>
      <x:c r="K13" s="28" t="n">
        <x:v>32</x:v>
      </x:c>
      <x:c r="L13" s="28" t="n">
        <x:v>2955</x:v>
      </x:c>
      <x:c r="M13" s="28" t="n">
        <x:v>1</x:v>
      </x:c>
      <x:c r="N13" s="28" t="n">
        <x:v>1</x:v>
      </x:c>
      <x:c r="O13" s="28" t="n">
        <x:f>IF(COUNT(M13:N13)&lt;2,"",SUM(M13:N13))</x:f>
        <x:v>2</x:v>
      </x:c>
      <x:c r="P13" s="32" t="n">
        <x:f>IF(OR(COUNT(L13)=0,L13=0,COUNT(O13)=0),"",O13*90/L13)</x:f>
        <x:v>0.06091370558375635</x:v>
      </x:c>
      <x:c r="Q13" s="26" t="str">
        <x:f>IF(COUNT(J13:N13)=5,"Full","Partial")</x:f>
        <x:v>Full</x:v>
      </x:c>
      <x:c r="R13" s="26" t="str">
        <x:v>https://www.transfermarkt.us/japan/kader/verein/3435/saison_id/2026</x:v>
      </x:c>
      <x:c r="S13" s="26" t="str">
        <x:v>Transfermarkt</x:v>
      </x:c>
      <x:c r="T13" s="26" t="str">
        <x:v>https://www.transfermarkt.com/schnellsuche/ergebnis/schnellsuche?query=Shogo+Taniguchi</x:v>
      </x:c>
      <x:c r="U13" s="26"/>
    </x:row>
    <x:row r="14">
      <x:c r="A14" s="26" t="str">
        <x:v>Japan</x:v>
      </x:c>
      <x:c r="B14" s="26" t="str">
        <x:v>Yuto Nagatomo</x:v>
      </x:c>
      <x:c r="C14" s="26" t="str">
        <x:v>Left-Back</x:v>
      </x:c>
      <x:c r="D14" s="26" t="str">
        <x:v>DF</x:v>
      </x:c>
      <x:c r="E14" s="28" t="n">
        <x:v>39</x:v>
      </x:c>
      <x:c r="F14" s="30" t="n">
        <x:v>0.1</x:v>
      </x:c>
      <x:c r="G14" s="26" t="str">
        <x:v>2025</x:v>
      </x:c>
      <x:c r="H14" s="26" t="str">
        <x:v>J1 League</x:v>
      </x:c>
      <x:c r="I14" s="26" t="str">
        <x:v>FC Tokyo</x:v>
      </x:c>
      <x:c r="J14" s="28" t="n">
        <x:v>27</x:v>
      </x:c>
      <x:c r="K14" s="28" t="n">
        <x:v>19</x:v>
      </x:c>
      <x:c r="L14" s="28" t="n">
        <x:v>1723</x:v>
      </x:c>
      <x:c r="M14" s="28" t="n">
        <x:v>0</x:v>
      </x:c>
      <x:c r="N14" s="28" t="n">
        <x:v>2</x:v>
      </x:c>
      <x:c r="O14" s="28" t="n">
        <x:f>IF(COUNT(M14:N14)&lt;2,"",SUM(M14:N14))</x:f>
        <x:v>2</x:v>
      </x:c>
      <x:c r="P14" s="32" t="n">
        <x:f>IF(OR(COUNT(L14)=0,L14=0,COUNT(O14)=0),"",O14*90/L14)</x:f>
        <x:v>0.1044689495066744</x:v>
      </x:c>
      <x:c r="Q14" s="26" t="str">
        <x:f>IF(COUNT(J14:N14)=5,"Full","Partial")</x:f>
        <x:v>Full</x:v>
      </x:c>
      <x:c r="R14" s="26" t="str">
        <x:v>https://www.transfermarkt.us/japan/kader/verein/3435/saison_id/2026</x:v>
      </x:c>
      <x:c r="S14" s="26" t="str">
        <x:v>FBref</x:v>
      </x:c>
      <x:c r="T14" s="26" t="str">
        <x:v>https://fbref.com/en/search/search.fcgi?search=Yuto+Nagatomo</x:v>
      </x:c>
      <x:c r="U14" s="26"/>
    </x:row>
    <x:row r="15">
      <x:c r="A15" s="26" t="str">
        <x:v>Japan</x:v>
      </x:c>
      <x:c r="B15" s="26" t="str">
        <x:v>Yukinari Sugawara</x:v>
      </x:c>
      <x:c r="C15" s="26" t="str">
        <x:v>Right-Back</x:v>
      </x:c>
      <x:c r="D15" s="26" t="str">
        <x:v>DF</x:v>
      </x:c>
      <x:c r="E15" s="28" t="n">
        <x:v>25</x:v>
      </x:c>
      <x:c r="F15" s="30" t="n">
        <x:v>5.5</x:v>
      </x:c>
      <x:c r="G15" s="26" t="str">
        <x:v>2025/26</x:v>
      </x:c>
      <x:c r="H15" s="26" t="str">
        <x:v>Bundesliga + Championship</x:v>
      </x:c>
      <x:c r="I15" s="26" t="str">
        <x:v>Werder Bremen + Southampton</x:v>
      </x:c>
      <x:c r="J15" s="28" t="n">
        <x:v>33</x:v>
      </x:c>
      <x:c r="K15" s="28" t="n">
        <x:v>30</x:v>
      </x:c>
      <x:c r="L15" s="28" t="n">
        <x:v>2502</x:v>
      </x:c>
      <x:c r="M15" s="28" t="n">
        <x:v>0</x:v>
      </x:c>
      <x:c r="N15" s="28" t="n">
        <x:v>6</x:v>
      </x:c>
      <x:c r="O15" s="28" t="n">
        <x:f>IF(COUNT(M15:N15)&lt;2,"",SUM(M15:N15))</x:f>
        <x:v>6</x:v>
      </x:c>
      <x:c r="P15" s="32" t="n">
        <x:f>IF(OR(COUNT(L15)=0,L15=0,COUNT(O15)=0),"",O15*90/L15)</x:f>
        <x:v>0.2158273381294964</x:v>
      </x:c>
      <x:c r="Q15" s="26" t="str">
        <x:f>IF(COUNT(J15:N15)=5,"Full","Partial")</x:f>
        <x:v>Full</x:v>
      </x:c>
      <x:c r="R15" s="26" t="str">
        <x:v>https://www.transfermarkt.us/japan/kader/verein/3435/saison_id/2026</x:v>
      </x:c>
      <x:c r="S15" s="26" t="str">
        <x:v>Transfermarkt</x:v>
      </x:c>
      <x:c r="T15" s="26" t="str">
        <x:v>https://www.transfermarkt.com/schnellsuche/ergebnis/schnellsuche?query=Yukinari+Sugawara</x:v>
      </x:c>
      <x:c r="U15" s="26" t="str">
        <x:v>Season aggregate: Werder Bremen 31 apps + Southampton 2 apps.</x:v>
      </x:c>
    </x:row>
    <x:row r="16">
      <x:c r="A16" s="26" t="str">
        <x:v>Japan</x:v>
      </x:c>
      <x:c r="B16" s="26" t="str">
        <x:v>Kaishu Sano</x:v>
      </x:c>
      <x:c r="C16" s="26" t="str">
        <x:v>Defensive Midfield</x:v>
      </x:c>
      <x:c r="D16" s="26" t="str">
        <x:v>MF</x:v>
      </x:c>
      <x:c r="E16" s="28" t="n">
        <x:v>25</x:v>
      </x:c>
      <x:c r="F16" s="30" t="n">
        <x:v>40</x:v>
      </x:c>
      <x:c r="G16" s="26" t="str">
        <x:v>2025/26</x:v>
      </x:c>
      <x:c r="H16" s="26" t="str">
        <x:v>Bundesliga</x:v>
      </x:c>
      <x:c r="I16" s="26" t="str">
        <x:v>Mainz 05</x:v>
      </x:c>
      <x:c r="J16" s="28" t="n">
        <x:v>34</x:v>
      </x:c>
      <x:c r="K16" s="28" t="n">
        <x:v>34</x:v>
      </x:c>
      <x:c r="L16" s="28" t="n">
        <x:v>3060</x:v>
      </x:c>
      <x:c r="M16" s="28" t="n">
        <x:v>1</x:v>
      </x:c>
      <x:c r="N16" s="28" t="n">
        <x:v>2</x:v>
      </x:c>
      <x:c r="O16" s="28" t="n">
        <x:f>IF(COUNT(M16:N16)&lt;2,"",SUM(M16:N16))</x:f>
        <x:v>3</x:v>
      </x:c>
      <x:c r="P16" s="32" t="n">
        <x:f>IF(OR(COUNT(L16)=0,L16=0,COUNT(O16)=0),"",O16*90/L16)</x:f>
        <x:v>0.08823529411764706</x:v>
      </x:c>
      <x:c r="Q16" s="26" t="str">
        <x:f>IF(COUNT(J16:N16)=5,"Full","Partial")</x:f>
        <x:v>Full</x:v>
      </x:c>
      <x:c r="R16" s="26" t="str">
        <x:v>https://www.transfermarkt.us/japan/kader/verein/3435/saison_id/2026</x:v>
      </x:c>
      <x:c r="S16" s="26" t="str">
        <x:v>FBref</x:v>
      </x:c>
      <x:c r="T16" s="26" t="str">
        <x:v>https://fbref.com/en/search/search.fcgi?search=Kaishu+Sano</x:v>
      </x:c>
      <x:c r="U16" s="26"/>
    </x:row>
    <x:row r="17">
      <x:c r="A17" s="26" t="str">
        <x:v>Japan</x:v>
      </x:c>
      <x:c r="B17" s="26" t="str">
        <x:v>Ao Tanaka</x:v>
      </x:c>
      <x:c r="C17" s="26" t="str">
        <x:v>Central Midfield</x:v>
      </x:c>
      <x:c r="D17" s="26" t="str">
        <x:v>MF</x:v>
      </x:c>
      <x:c r="E17" s="28" t="n">
        <x:v>27</x:v>
      </x:c>
      <x:c r="F17" s="30" t="n">
        <x:v>13</x:v>
      </x:c>
      <x:c r="G17" s="26" t="str">
        <x:v>2025/26</x:v>
      </x:c>
      <x:c r="H17" s="26" t="str">
        <x:v>Premier League</x:v>
      </x:c>
      <x:c r="I17" s="26" t="str">
        <x:v>Leeds United</x:v>
      </x:c>
      <x:c r="J17" s="28" t="n">
        <x:v>28</x:v>
      </x:c>
      <x:c r="K17" s="28" t="n">
        <x:v>14</x:v>
      </x:c>
      <x:c r="L17" s="28" t="n">
        <x:v>1316</x:v>
      </x:c>
      <x:c r="M17" s="28" t="n">
        <x:v>2</x:v>
      </x:c>
      <x:c r="N17" s="28" t="n">
        <x:v>0</x:v>
      </x:c>
      <x:c r="O17" s="28" t="n">
        <x:f>IF(COUNT(M17:N17)&lt;2,"",SUM(M17:N17))</x:f>
        <x:v>2</x:v>
      </x:c>
      <x:c r="P17" s="32" t="n">
        <x:f>IF(OR(COUNT(L17)=0,L17=0,COUNT(O17)=0),"",O17*90/L17)</x:f>
        <x:v>0.13677811550151975</x:v>
      </x:c>
      <x:c r="Q17" s="26" t="str">
        <x:f>IF(COUNT(J17:N17)=5,"Full","Partial")</x:f>
        <x:v>Full</x:v>
      </x:c>
      <x:c r="R17" s="26" t="str">
        <x:v>https://www.transfermarkt.us/japan/kader/verein/3435/saison_id/2026</x:v>
      </x:c>
      <x:c r="S17" s="26" t="str">
        <x:v>FBref</x:v>
      </x:c>
      <x:c r="T17" s="26" t="str">
        <x:v>https://fbref.com/en/search/search.fcgi?search=Ao+Tanaka</x:v>
      </x:c>
      <x:c r="U17" s="26"/>
    </x:row>
    <x:row r="18">
      <x:c r="A18" s="26" t="str">
        <x:v>Japan</x:v>
      </x:c>
      <x:c r="B18" s="26" t="str">
        <x:v>Daichi Kamada</x:v>
      </x:c>
      <x:c r="C18" s="26" t="str">
        <x:v>Attacking Midfield</x:v>
      </x:c>
      <x:c r="D18" s="26" t="str">
        <x:v>MF</x:v>
      </x:c>
      <x:c r="E18" s="28" t="n">
        <x:v>29</x:v>
      </x:c>
      <x:c r="F18" s="30" t="n">
        <x:v>10</x:v>
      </x:c>
      <x:c r="G18" s="26" t="str">
        <x:v>2025/26</x:v>
      </x:c>
      <x:c r="H18" s="26" t="str">
        <x:v>Premier League</x:v>
      </x:c>
      <x:c r="I18" s="26" t="str">
        <x:v>Crystal Palace</x:v>
      </x:c>
      <x:c r="J18" s="28" t="n">
        <x:v>28</x:v>
      </x:c>
      <x:c r="K18" s="28" t="n">
        <x:v>22</x:v>
      </x:c>
      <x:c r="L18" s="28" t="n">
        <x:v>1910</x:v>
      </x:c>
      <x:c r="M18" s="28" t="n">
        <x:v>0</x:v>
      </x:c>
      <x:c r="N18" s="28" t="n">
        <x:v>0</x:v>
      </x:c>
      <x:c r="O18" s="28" t="n">
        <x:f>IF(COUNT(M18:N18)&lt;2,"",SUM(M18:N18))</x:f>
        <x:v>0</x:v>
      </x:c>
      <x:c r="P18" s="32" t="n">
        <x:f>IF(OR(COUNT(L18)=0,L18=0,COUNT(O18)=0),"",O18*90/L18)</x:f>
        <x:v>0</x:v>
      </x:c>
      <x:c r="Q18" s="26" t="str">
        <x:f>IF(COUNT(J18:N18)=5,"Full","Partial")</x:f>
        <x:v>Full</x:v>
      </x:c>
      <x:c r="R18" s="26" t="str">
        <x:v>https://www.transfermarkt.us/japan/kader/verein/3435/saison_id/2026</x:v>
      </x:c>
      <x:c r="S18" s="26" t="str">
        <x:v>FBref</x:v>
      </x:c>
      <x:c r="T18" s="26" t="str">
        <x:v>https://fbref.com/en/search/search.fcgi?search=Daichi+Kamada</x:v>
      </x:c>
      <x:c r="U18" s="26"/>
    </x:row>
    <x:row r="19">
      <x:c r="A19" s="26" t="str">
        <x:v>Japan</x:v>
      </x:c>
      <x:c r="B19" s="26" t="str">
        <x:v>Daizen Maeda</x:v>
      </x:c>
      <x:c r="C19" s="26" t="str">
        <x:v>Left Winger</x:v>
      </x:c>
      <x:c r="D19" s="26" t="str">
        <x:v>FW</x:v>
      </x:c>
      <x:c r="E19" s="28" t="n">
        <x:v>28</x:v>
      </x:c>
      <x:c r="F19" s="30" t="n">
        <x:v>13</x:v>
      </x:c>
      <x:c r="G19" s="26" t="str">
        <x:v>2025/26</x:v>
      </x:c>
      <x:c r="H19" s="26" t="str">
        <x:v>Scottish Premiership</x:v>
      </x:c>
      <x:c r="I19" s="26" t="str">
        <x:v>Celtic</x:v>
      </x:c>
      <x:c r="J19" s="28" t="n">
        <x:v>36</x:v>
      </x:c>
      <x:c r="K19" s="28" t="n">
        <x:v>32</x:v>
      </x:c>
      <x:c r="L19" s="28" t="n">
        <x:v>2833</x:v>
      </x:c>
      <x:c r="M19" s="28" t="n">
        <x:v>14</x:v>
      </x:c>
      <x:c r="N19" s="28" t="n">
        <x:v>6</x:v>
      </x:c>
      <x:c r="O19" s="28" t="n">
        <x:f>IF(COUNT(M19:N19)&lt;2,"",SUM(M19:N19))</x:f>
        <x:v>20</x:v>
      </x:c>
      <x:c r="P19" s="32" t="n">
        <x:f>IF(OR(COUNT(L19)=0,L19=0,COUNT(O19)=0),"",O19*90/L19)</x:f>
        <x:v>0.6353688669255206</x:v>
      </x:c>
      <x:c r="Q19" s="26" t="str">
        <x:f>IF(COUNT(J19:N19)=5,"Full","Partial")</x:f>
        <x:v>Full</x:v>
      </x:c>
      <x:c r="R19" s="26" t="str">
        <x:v>https://www.transfermarkt.us/japan/kader/verein/3435/saison_id/2026</x:v>
      </x:c>
      <x:c r="S19" s="26" t="str">
        <x:v>FBref</x:v>
      </x:c>
      <x:c r="T19" s="26" t="str">
        <x:v>https://fbref.com/en/search/search.fcgi?search=Daizen+Maeda</x:v>
      </x:c>
      <x:c r="U19" s="26"/>
    </x:row>
    <x:row r="20">
      <x:c r="A20" s="26" t="str">
        <x:v>Japan</x:v>
      </x:c>
      <x:c r="B20" s="26" t="str">
        <x:v>Keito Nakamura</x:v>
      </x:c>
      <x:c r="C20" s="26" t="str">
        <x:v>Left Winger</x:v>
      </x:c>
      <x:c r="D20" s="26" t="str">
        <x:v>FW</x:v>
      </x:c>
      <x:c r="E20" s="28" t="n">
        <x:v>25</x:v>
      </x:c>
      <x:c r="F20" s="30" t="n">
        <x:v>10</x:v>
      </x:c>
      <x:c r="G20" s="26" t="str">
        <x:v>2025/26</x:v>
      </x:c>
      <x:c r="H20" s="26" t="str">
        <x:v>Ligue 2</x:v>
      </x:c>
      <x:c r="I20" s="26" t="str">
        <x:v>Reims</x:v>
      </x:c>
      <x:c r="J20" s="28" t="n">
        <x:v>29</x:v>
      </x:c>
      <x:c r="K20" s="28" t="n">
        <x:v>28</x:v>
      </x:c>
      <x:c r="L20" s="28" t="n">
        <x:v>2359</x:v>
      </x:c>
      <x:c r="M20" s="28" t="n">
        <x:v>14</x:v>
      </x:c>
      <x:c r="N20" s="28" t="n">
        <x:v>2</x:v>
      </x:c>
      <x:c r="O20" s="28" t="n">
        <x:f>IF(COUNT(M20:N20)&lt;2,"",SUM(M20:N20))</x:f>
        <x:v>16</x:v>
      </x:c>
      <x:c r="P20" s="32" t="n">
        <x:f>IF(OR(COUNT(L20)=0,L20=0,COUNT(O20)=0),"",O20*90/L20)</x:f>
        <x:v>0.6104281475201356</x:v>
      </x:c>
      <x:c r="Q20" s="26" t="str">
        <x:f>IF(COUNT(J20:N20)=5,"Full","Partial")</x:f>
        <x:v>Full</x:v>
      </x:c>
      <x:c r="R20" s="26" t="str">
        <x:v>https://www.transfermarkt.us/japan/kader/verein/3435/saison_id/2026</x:v>
      </x:c>
      <x:c r="S20" s="26" t="str">
        <x:v>Transfermarkt</x:v>
      </x:c>
      <x:c r="T20" s="26" t="str">
        <x:v>https://www.transfermarkt.com/schnellsuche/ergebnis/schnellsuche?query=Keito+Nakamura</x:v>
      </x:c>
      <x:c r="U20" s="26"/>
    </x:row>
    <x:row r="21">
      <x:c r="A21" s="26" t="str">
        <x:v>Japan</x:v>
      </x:c>
      <x:c r="B21" s="26" t="str">
        <x:v>Takefusa Kubo</x:v>
      </x:c>
      <x:c r="C21" s="26" t="str">
        <x:v>Right Winger</x:v>
      </x:c>
      <x:c r="D21" s="26" t="str">
        <x:v>FW</x:v>
      </x:c>
      <x:c r="E21" s="28" t="n">
        <x:v>25</x:v>
      </x:c>
      <x:c r="F21" s="30" t="n">
        <x:v>20</x:v>
      </x:c>
      <x:c r="G21" s="26" t="str">
        <x:v>2025/26</x:v>
      </x:c>
      <x:c r="H21" s="26" t="str">
        <x:v>La Liga</x:v>
      </x:c>
      <x:c r="I21" s="26" t="str">
        <x:v>Real Sociedad</x:v>
      </x:c>
      <x:c r="J21" s="28" t="n">
        <x:v>24</x:v>
      </x:c>
      <x:c r="K21" s="28" t="n">
        <x:v>17</x:v>
      </x:c>
      <x:c r="L21" s="28" t="n">
        <x:v>1509</x:v>
      </x:c>
      <x:c r="M21" s="28" t="n">
        <x:v>2</x:v>
      </x:c>
      <x:c r="N21" s="28" t="n">
        <x:v>4</x:v>
      </x:c>
      <x:c r="O21" s="28" t="n">
        <x:f>IF(COUNT(M21:N21)&lt;2,"",SUM(M21:N21))</x:f>
        <x:v>6</x:v>
      </x:c>
      <x:c r="P21" s="32" t="n">
        <x:f>IF(OR(COUNT(L21)=0,L21=0,COUNT(O21)=0),"",O21*90/L21)</x:f>
        <x:v>0.35785288270377735</x:v>
      </x:c>
      <x:c r="Q21" s="26" t="str">
        <x:f>IF(COUNT(J21:N21)=5,"Full","Partial")</x:f>
        <x:v>Full</x:v>
      </x:c>
      <x:c r="R21" s="26" t="str">
        <x:v>https://www.transfermarkt.us/japan/kader/verein/3435/saison_id/2026</x:v>
      </x:c>
      <x:c r="S21" s="26" t="str">
        <x:v>FBref</x:v>
      </x:c>
      <x:c r="T21" s="26" t="str">
        <x:v>https://fbref.com/en/search/search.fcgi?search=Takefusa+Kubo</x:v>
      </x:c>
      <x:c r="U21" s="26"/>
    </x:row>
    <x:row r="22">
      <x:c r="A22" s="26" t="str">
        <x:v>Japan</x:v>
      </x:c>
      <x:c r="B22" s="26" t="str">
        <x:v>Ritsu Doan</x:v>
      </x:c>
      <x:c r="C22" s="26" t="str">
        <x:v>Right Winger</x:v>
      </x:c>
      <x:c r="D22" s="26" t="str">
        <x:v>FW</x:v>
      </x:c>
      <x:c r="E22" s="28" t="n">
        <x:v>28</x:v>
      </x:c>
      <x:c r="F22" s="30" t="n">
        <x:v>17</x:v>
      </x:c>
      <x:c r="G22" s="26" t="str">
        <x:v>2025/26</x:v>
      </x:c>
      <x:c r="H22" s="26" t="str">
        <x:v>Bundesliga</x:v>
      </x:c>
      <x:c r="I22" s="26" t="str">
        <x:v>Eintracht Frankfurt</x:v>
      </x:c>
      <x:c r="J22" s="28" t="n">
        <x:v>31</x:v>
      </x:c>
      <x:c r="K22" s="28" t="n">
        <x:v>28</x:v>
      </x:c>
      <x:c r="L22" s="28" t="n">
        <x:v>2378</x:v>
      </x:c>
      <x:c r="M22" s="28" t="n">
        <x:v>5</x:v>
      </x:c>
      <x:c r="N22" s="28" t="n">
        <x:v>5</x:v>
      </x:c>
      <x:c r="O22" s="28" t="n">
        <x:f>IF(COUNT(M22:N22)&lt;2,"",SUM(M22:N22))</x:f>
        <x:v>10</x:v>
      </x:c>
      <x:c r="P22" s="32" t="n">
        <x:f>IF(OR(COUNT(L22)=0,L22=0,COUNT(O22)=0),"",O22*90/L22)</x:f>
        <x:v>0.37846930193439865</x:v>
      </x:c>
      <x:c r="Q22" s="26" t="str">
        <x:f>IF(COUNT(J22:N22)=5,"Full","Partial")</x:f>
        <x:v>Full</x:v>
      </x:c>
      <x:c r="R22" s="26" t="str">
        <x:v>https://www.transfermarkt.us/japan/kader/verein/3435/saison_id/2026</x:v>
      </x:c>
      <x:c r="S22" s="26" t="str">
        <x:v>FBref</x:v>
      </x:c>
      <x:c r="T22" s="26" t="str">
        <x:v>https://fbref.com/en/search/search.fcgi?search=Ritsu+Doan</x:v>
      </x:c>
      <x:c r="U22" s="26"/>
    </x:row>
    <x:row r="23">
      <x:c r="A23" s="26" t="str">
        <x:v>Japan</x:v>
      </x:c>
      <x:c r="B23" s="26" t="str">
        <x:v>Junya Ito</x:v>
      </x:c>
      <x:c r="C23" s="26" t="str">
        <x:v>Right Winger</x:v>
      </x:c>
      <x:c r="D23" s="26" t="str">
        <x:v>FW</x:v>
      </x:c>
      <x:c r="E23" s="28" t="n">
        <x:v>33</x:v>
      </x:c>
      <x:c r="F23" s="30" t="n">
        <x:v>3</x:v>
      </x:c>
      <x:c r="G23" s="26" t="str">
        <x:v>2025/26</x:v>
      </x:c>
      <x:c r="H23" s="26" t="str">
        <x:v>Belgian Pro League</x:v>
      </x:c>
      <x:c r="I23" s="26" t="str">
        <x:v>Genk</x:v>
      </x:c>
      <x:c r="J23" s="28" t="n">
        <x:v>28</x:v>
      </x:c>
      <x:c r="K23" s="28" t="n">
        <x:v>22</x:v>
      </x:c>
      <x:c r="L23" s="28" t="n">
        <x:v>1787</x:v>
      </x:c>
      <x:c r="M23" s="28" t="n">
        <x:v>6</x:v>
      </x:c>
      <x:c r="N23" s="28" t="n">
        <x:v>5</x:v>
      </x:c>
      <x:c r="O23" s="28" t="n">
        <x:f>IF(COUNT(M23:N23)&lt;2,"",SUM(M23:N23))</x:f>
        <x:v>11</x:v>
      </x:c>
      <x:c r="P23" s="32" t="n">
        <x:f>IF(OR(COUNT(L23)=0,L23=0,COUNT(O23)=0),"",O23*90/L23)</x:f>
        <x:v>0.5540011191941802</x:v>
      </x:c>
      <x:c r="Q23" s="26" t="str">
        <x:f>IF(COUNT(J23:N23)=5,"Full","Partial")</x:f>
        <x:v>Full</x:v>
      </x:c>
      <x:c r="R23" s="26" t="str">
        <x:v>https://www.transfermarkt.us/japan/kader/verein/3435/saison_id/2026</x:v>
      </x:c>
      <x:c r="S23" s="26" t="str">
        <x:v>Transfermarkt</x:v>
      </x:c>
      <x:c r="T23" s="26" t="str">
        <x:v>https://www.transfermarkt.com/schnellsuche/ergebnis/schnellsuche?query=Junya+Ito</x:v>
      </x:c>
      <x:c r="U23" s="26"/>
    </x:row>
    <x:row r="24">
      <x:c r="A24" s="26" t="str">
        <x:v>Japan</x:v>
      </x:c>
      <x:c r="B24" s="26" t="str">
        <x:v>Yuito Suzuki</x:v>
      </x:c>
      <x:c r="C24" s="26" t="str">
        <x:v>Second Striker</x:v>
      </x:c>
      <x:c r="D24" s="26" t="str">
        <x:v>FW</x:v>
      </x:c>
      <x:c r="E24" s="28" t="n">
        <x:v>24</x:v>
      </x:c>
      <x:c r="F24" s="30" t="n">
        <x:v>24</x:v>
      </x:c>
      <x:c r="G24" s="26" t="str">
        <x:v>2025/26</x:v>
      </x:c>
      <x:c r="H24" s="26" t="str">
        <x:v>Bundesliga</x:v>
      </x:c>
      <x:c r="I24" s="26" t="str">
        <x:v>Freiburg</x:v>
      </x:c>
      <x:c r="J24" s="28" t="n">
        <x:v>25</x:v>
      </x:c>
      <x:c r="K24" s="28" t="n">
        <x:v>18</x:v>
      </x:c>
      <x:c r="L24" s="28" t="n">
        <x:v>1637</x:v>
      </x:c>
      <x:c r="M24" s="28" t="n">
        <x:v>4</x:v>
      </x:c>
      <x:c r="N24" s="28" t="n">
        <x:v>2</x:v>
      </x:c>
      <x:c r="O24" s="28" t="n">
        <x:f>IF(COUNT(M24:N24)&lt;2,"",SUM(M24:N24))</x:f>
        <x:v>6</x:v>
      </x:c>
      <x:c r="P24" s="32" t="n">
        <x:f>IF(OR(COUNT(L24)=0,L24=0,COUNT(O24)=0),"",O24*90/L24)</x:f>
        <x:v>0.3298717165546732</x:v>
      </x:c>
      <x:c r="Q24" s="26" t="str">
        <x:f>IF(COUNT(J24:N24)=5,"Full","Partial")</x:f>
        <x:v>Full</x:v>
      </x:c>
      <x:c r="R24" s="26" t="str">
        <x:v>https://www.transfermarkt.us/japan/kader/verein/3435/saison_id/2026</x:v>
      </x:c>
      <x:c r="S24" s="26" t="str">
        <x:v>FBref</x:v>
      </x:c>
      <x:c r="T24" s="26" t="str">
        <x:v>https://fbref.com/en/search/search.fcgi?search=Yuito+Suzuki</x:v>
      </x:c>
      <x:c r="U24" s="26"/>
    </x:row>
    <x:row r="25">
      <x:c r="A25" s="26" t="str">
        <x:v>Japan</x:v>
      </x:c>
      <x:c r="B25" s="26" t="str">
        <x:v>Ayase Ueda</x:v>
      </x:c>
      <x:c r="C25" s="26" t="str">
        <x:v>Centre-Forward</x:v>
      </x:c>
      <x:c r="D25" s="26" t="str">
        <x:v>FW</x:v>
      </x:c>
      <x:c r="E25" s="28" t="n">
        <x:v>27</x:v>
      </x:c>
      <x:c r="F25" s="30" t="n">
        <x:v>17</x:v>
      </x:c>
      <x:c r="G25" s="26" t="str">
        <x:v>2025/26</x:v>
      </x:c>
      <x:c r="H25" s="26" t="str">
        <x:v>Eredivisie</x:v>
      </x:c>
      <x:c r="I25" s="26" t="str">
        <x:v>Feyenoord</x:v>
      </x:c>
      <x:c r="J25" s="28" t="n">
        <x:v>31</x:v>
      </x:c>
      <x:c r="K25" s="28" t="n">
        <x:v>31</x:v>
      </x:c>
      <x:c r="L25" s="28" t="n">
        <x:v>2535</x:v>
      </x:c>
      <x:c r="M25" s="28" t="n">
        <x:v>25</x:v>
      </x:c>
      <x:c r="N25" s="28" t="n">
        <x:v>1</x:v>
      </x:c>
      <x:c r="O25" s="28" t="n">
        <x:f>IF(COUNT(M25:N25)&lt;2,"",SUM(M25:N25))</x:f>
        <x:v>26</x:v>
      </x:c>
      <x:c r="P25" s="32" t="n">
        <x:f>IF(OR(COUNT(L25)=0,L25=0,COUNT(O25)=0),"",O25*90/L25)</x:f>
        <x:v>0.9230769230769231</x:v>
      </x:c>
      <x:c r="Q25" s="26" t="str">
        <x:f>IF(COUNT(J25:N25)=5,"Full","Partial")</x:f>
        <x:v>Full</x:v>
      </x:c>
      <x:c r="R25" s="26" t="str">
        <x:v>https://www.transfermarkt.us/japan/kader/verein/3435/saison_id/2026</x:v>
      </x:c>
      <x:c r="S25" s="26" t="str">
        <x:v>Transfermarkt</x:v>
      </x:c>
      <x:c r="T25" s="26" t="str">
        <x:v>https://www.transfermarkt.com/schnellsuche/ergebnis/schnellsuche?query=Ayase+Ueda</x:v>
      </x:c>
      <x:c r="U25" s="26"/>
    </x:row>
    <x:row r="26">
      <x:c r="A26" s="26" t="str">
        <x:v>Japan</x:v>
      </x:c>
      <x:c r="B26" s="26" t="str">
        <x:v>Keisuke Goto</x:v>
      </x:c>
      <x:c r="C26" s="26" t="str">
        <x:v>Centre-Forward</x:v>
      </x:c>
      <x:c r="D26" s="26" t="str">
        <x:v>FW</x:v>
      </x:c>
      <x:c r="E26" s="28" t="n">
        <x:v>21</x:v>
      </x:c>
      <x:c r="F26" s="30" t="n">
        <x:v>10</x:v>
      </x:c>
      <x:c r="G26" s="26" t="str">
        <x:v>2025/26</x:v>
      </x:c>
      <x:c r="H26" s="26" t="str">
        <x:v>Belgian Pro League</x:v>
      </x:c>
      <x:c r="I26" s="26" t="str">
        <x:v>Sint-Truiden</x:v>
      </x:c>
      <x:c r="J26" s="28" t="n">
        <x:v>38</x:v>
      </x:c>
      <x:c r="K26" s="28" t="n">
        <x:v>32</x:v>
      </x:c>
      <x:c r="L26" s="28" t="n">
        <x:v>2886</x:v>
      </x:c>
      <x:c r="M26" s="28" t="n">
        <x:v>11</x:v>
      </x:c>
      <x:c r="N26" s="28" t="n">
        <x:v>7</x:v>
      </x:c>
      <x:c r="O26" s="28" t="n">
        <x:f>IF(COUNT(M26:N26)&lt;2,"",SUM(M26:N26))</x:f>
        <x:v>18</x:v>
      </x:c>
      <x:c r="P26" s="32" t="n">
        <x:f>IF(OR(COUNT(L26)=0,L26=0,COUNT(O26)=0),"",O26*90/L26)</x:f>
        <x:v>0.5613305613305614</x:v>
      </x:c>
      <x:c r="Q26" s="26" t="str">
        <x:f>IF(COUNT(J26:N26)=5,"Full","Partial")</x:f>
        <x:v>Full</x:v>
      </x:c>
      <x:c r="R26" s="26" t="str">
        <x:v>https://www.transfermarkt.us/japan/kader/verein/3435/saison_id/2026</x:v>
      </x:c>
      <x:c r="S26" s="26" t="str">
        <x:v>Transfermarkt</x:v>
      </x:c>
      <x:c r="T26" s="26" t="str">
        <x:v>https://www.transfermarkt.com/schnellsuche/ergebnis/schnellsuche?query=Keisuke+Goto</x:v>
      </x:c>
      <x:c r="U26" s="26"/>
    </x:row>
    <x:row r="27">
      <x:c r="A27" s="26" t="str">
        <x:v>Japan</x:v>
      </x:c>
      <x:c r="B27" s="26" t="str">
        <x:v>Kento Shiogai</x:v>
      </x:c>
      <x:c r="C27" s="26" t="str">
        <x:v>Centre-Forward</x:v>
      </x:c>
      <x:c r="D27" s="26" t="str">
        <x:v>FW</x:v>
      </x:c>
      <x:c r="E27" s="28" t="n">
        <x:v>21</x:v>
      </x:c>
      <x:c r="F27" s="30" t="n">
        <x:v>8</x:v>
      </x:c>
      <x:c r="G27" s="26" t="str">
        <x:v>2025/26</x:v>
      </x:c>
      <x:c r="H27" s="26" t="str">
        <x:v>Eredivisie + Bundesliga</x:v>
      </x:c>
      <x:c r="I27" s="26" t="str">
        <x:v>NEC + Wolfsburg</x:v>
      </x:c>
      <x:c r="J27" s="28" t="n">
        <x:v>24</x:v>
      </x:c>
      <x:c r="K27" s="28" t="n">
        <x:v>3</x:v>
      </x:c>
      <x:c r="L27" s="28" t="n">
        <x:v>672</x:v>
      </x:c>
      <x:c r="M27" s="28" t="n">
        <x:v>8</x:v>
      </x:c>
      <x:c r="N27" s="28" t="n">
        <x:v>0</x:v>
      </x:c>
      <x:c r="O27" s="28" t="n">
        <x:f>IF(COUNT(M27:N27)&lt;2,"",SUM(M27:N27))</x:f>
        <x:v>8</x:v>
      </x:c>
      <x:c r="P27" s="32" t="n">
        <x:f>IF(OR(COUNT(L27)=0,L27=0,COUNT(O27)=0),"",O27*90/L27)</x:f>
        <x:v>1.0714285714285714</x:v>
      </x:c>
      <x:c r="Q27" s="26" t="str">
        <x:f>IF(COUNT(J27:N27)=5,"Full","Partial")</x:f>
        <x:v>Full</x:v>
      </x:c>
      <x:c r="R27" s="26" t="str">
        <x:v>https://www.transfermarkt.us/japan/kader/verein/3435/saison_id/2026</x:v>
      </x:c>
      <x:c r="S27" s="26" t="str">
        <x:v>Transfermarkt</x:v>
      </x:c>
      <x:c r="T27" s="26" t="str">
        <x:v>https://www.transfermarkt.com/schnellsuche/ergebnis/schnellsuche?query=Kento+Shiogai</x:v>
      </x:c>
      <x:c r="U27" s="26" t="str">
        <x:v>Season aggregate: NEC 12 apps/7G + Wolfsburg 12 apps/1G.</x:v>
      </x:c>
    </x:row>
    <x:row r="28">
      <x:c r="A28" s="26" t="str">
        <x:v>Japan</x:v>
      </x:c>
      <x:c r="B28" s="26" t="str">
        <x:v>Shuto Machino</x:v>
      </x:c>
      <x:c r="C28" s="26" t="str">
        <x:v>Centre-Forward</x:v>
      </x:c>
      <x:c r="D28" s="26" t="str">
        <x:v>FW</x:v>
      </x:c>
      <x:c r="E28" s="28" t="n">
        <x:v>26</x:v>
      </x:c>
      <x:c r="F28" s="30" t="n">
        <x:v>4</x:v>
      </x:c>
      <x:c r="G28" s="26" t="str">
        <x:v>2025/26</x:v>
      </x:c>
      <x:c r="H28" s="26" t="str">
        <x:v>Bundesliga</x:v>
      </x:c>
      <x:c r="I28" s="26" t="str">
        <x:v>Borussia Mönchengladbach</x:v>
      </x:c>
      <x:c r="J28" s="28" t="n">
        <x:v>32</x:v>
      </x:c>
      <x:c r="K28" s="28"/>
      <x:c r="L28" s="28" t="n">
        <x:v>1076</x:v>
      </x:c>
      <x:c r="M28" s="28" t="n">
        <x:v>3</x:v>
      </x:c>
      <x:c r="N28" s="28" t="n">
        <x:v>1</x:v>
      </x:c>
      <x:c r="O28" s="28" t="n">
        <x:f>IF(COUNT(M28:N28)&lt;2,"",SUM(M28:N28))</x:f>
        <x:v>4</x:v>
      </x:c>
      <x:c r="P28" s="32" t="n">
        <x:f>IF(OR(COUNT(L28)=0,L28=0,COUNT(O28)=0),"",O28*90/L28)</x:f>
        <x:v>0.3345724907063197</x:v>
      </x:c>
      <x:c r="Q28" s="26" t="str">
        <x:f>IF(COUNT(J28:N28)=5,"Full","Partial")</x:f>
        <x:v>Partial</x:v>
      </x:c>
      <x:c r="R28" s="26" t="str">
        <x:v>https://www.transfermarkt.us/japan/kader/verein/3435/saison_id/2026</x:v>
      </x:c>
      <x:c r="S28" s="26" t="str">
        <x:v>Transfermarkt</x:v>
      </x:c>
      <x:c r="T28" s="26" t="str">
        <x:v>https://www.transfermarkt.com/schnellsuche/ergebnis/schnellsuche?query=Shuto+Machino</x:v>
      </x:c>
      <x:c r="U28" s="26" t="str">
        <x:v>Starts not reliably verified in source snapshot.</x:v>
      </x:c>
    </x:row>
    <x:row r="29">
      <x:c r="A29" s="26" t="str">
        <x:v>Japan</x:v>
      </x:c>
      <x:c r="B29" s="26" t="str">
        <x:v>Koki Ogawa</x:v>
      </x:c>
      <x:c r="C29" s="26" t="str">
        <x:v>Centre-Forward</x:v>
      </x:c>
      <x:c r="D29" s="26" t="str">
        <x:v>FW</x:v>
      </x:c>
      <x:c r="E29" s="28" t="n">
        <x:v>28</x:v>
      </x:c>
      <x:c r="F29" s="30" t="n">
        <x:v>2</x:v>
      </x:c>
      <x:c r="G29" s="26" t="str">
        <x:v>2025/26</x:v>
      </x:c>
      <x:c r="H29" s="26" t="str">
        <x:v>Eredivisie</x:v>
      </x:c>
      <x:c r="I29" s="26" t="str">
        <x:v>NEC</x:v>
      </x:c>
      <x:c r="J29" s="28" t="n">
        <x:v>26</x:v>
      </x:c>
      <x:c r="K29" s="28" t="n">
        <x:v>17</x:v>
      </x:c>
      <x:c r="L29" s="28" t="n">
        <x:v>1273</x:v>
      </x:c>
      <x:c r="M29" s="28" t="n">
        <x:v>8</x:v>
      </x:c>
      <x:c r="N29" s="28" t="n">
        <x:v>3</x:v>
      </x:c>
      <x:c r="O29" s="28" t="n">
        <x:f>IF(COUNT(M29:N29)&lt;2,"",SUM(M29:N29))</x:f>
        <x:v>11</x:v>
      </x:c>
      <x:c r="P29" s="32" t="n">
        <x:f>IF(OR(COUNT(L29)=0,L29=0,COUNT(O29)=0),"",O29*90/L29)</x:f>
        <x:v>0.7776904948939513</x:v>
      </x:c>
      <x:c r="Q29" s="26" t="str">
        <x:f>IF(COUNT(J29:N29)=5,"Full","Partial")</x:f>
        <x:v>Full</x:v>
      </x:c>
      <x:c r="R29" s="26" t="str">
        <x:v>https://www.transfermarkt.us/japan/kader/verein/3435/saison_id/2026</x:v>
      </x:c>
      <x:c r="S29" s="26" t="str">
        <x:v>Transfermarkt</x:v>
      </x:c>
      <x:c r="T29" s="26" t="str">
        <x:v>https://www.transfermarkt.com/schnellsuche/ergebnis/schnellsuche?query=Koki+Ogawa</x:v>
      </x:c>
      <x:c r="U29" s="26"/>
    </x:row>
    <x:row r="30">
      <x:c r="A30" s="26" t="str">
        <x:v>Netherlands</x:v>
      </x:c>
      <x:c r="B30" s="26" t="str">
        <x:v>Bart Verbruggen</x:v>
      </x:c>
      <x:c r="C30" s="26" t="str">
        <x:v>Goalkeeper</x:v>
      </x:c>
      <x:c r="D30" s="26" t="str">
        <x:v>GK</x:v>
      </x:c>
      <x:c r="E30" s="28" t="n">
        <x:v>23</x:v>
      </x:c>
      <x:c r="F30" s="30" t="n">
        <x:v>40</x:v>
      </x:c>
      <x:c r="G30" s="26" t="str">
        <x:v>2025/26</x:v>
      </x:c>
      <x:c r="H30" s="26" t="str">
        <x:v>Premier League</x:v>
      </x:c>
      <x:c r="I30" s="26" t="str">
        <x:v>Brighton</x:v>
      </x:c>
      <x:c r="J30" s="28" t="n">
        <x:v>38</x:v>
      </x:c>
      <x:c r="K30" s="28" t="n">
        <x:v>38</x:v>
      </x:c>
      <x:c r="L30" s="28" t="n">
        <x:v>3420</x:v>
      </x:c>
      <x:c r="M30" s="28" t="n">
        <x:v>0</x:v>
      </x:c>
      <x:c r="N30" s="28" t="n">
        <x:v>0</x:v>
      </x:c>
      <x:c r="O30" s="28" t="n">
        <x:f>IF(COUNT(M30:N30)&lt;2,"",SUM(M30:N30))</x:f>
        <x:v>0</x:v>
      </x:c>
      <x:c r="P30" s="32" t="n">
        <x:f>IF(OR(COUNT(L30)=0,L30=0,COUNT(O30)=0),"",O30*90/L30)</x:f>
        <x:v>0</x:v>
      </x:c>
      <x:c r="Q30" s="26" t="str">
        <x:f>IF(COUNT(J30:N30)=5,"Full","Partial")</x:f>
        <x:v>Full</x:v>
      </x:c>
      <x:c r="R30" s="26" t="str">
        <x:v>https://www.transfermarkt.us/netherlands/kader/verein/3379</x:v>
      </x:c>
      <x:c r="S30" s="26" t="str">
        <x:v>FBref</x:v>
      </x:c>
      <x:c r="T30" s="26" t="str">
        <x:v>https://fbref.com/en/search/search.fcgi?search=Bart+Verbruggen</x:v>
      </x:c>
      <x:c r="U30" s="26"/>
    </x:row>
    <x:row r="31">
      <x:c r="A31" s="26" t="str">
        <x:v>Netherlands</x:v>
      </x:c>
      <x:c r="B31" s="26" t="str">
        <x:v>Robin Roefs</x:v>
      </x:c>
      <x:c r="C31" s="26" t="str">
        <x:v>Goalkeeper</x:v>
      </x:c>
      <x:c r="D31" s="26" t="str">
        <x:v>GK</x:v>
      </x:c>
      <x:c r="E31" s="28" t="n">
        <x:v>23</x:v>
      </x:c>
      <x:c r="F31" s="30" t="n">
        <x:v>28</x:v>
      </x:c>
      <x:c r="G31" s="26" t="str">
        <x:v>2025/26</x:v>
      </x:c>
      <x:c r="H31" s="26" t="str">
        <x:v>Premier League</x:v>
      </x:c>
      <x:c r="I31" s="26" t="str">
        <x:v>Sunderland</x:v>
      </x:c>
      <x:c r="J31" s="28" t="n">
        <x:v>35</x:v>
      </x:c>
      <x:c r="K31" s="28" t="n">
        <x:v>35</x:v>
      </x:c>
      <x:c r="L31" s="28" t="n">
        <x:v>3150</x:v>
      </x:c>
      <x:c r="M31" s="28" t="n">
        <x:v>0</x:v>
      </x:c>
      <x:c r="N31" s="28" t="n">
        <x:v>0</x:v>
      </x:c>
      <x:c r="O31" s="28" t="n">
        <x:f>IF(COUNT(M31:N31)&lt;2,"",SUM(M31:N31))</x:f>
        <x:v>0</x:v>
      </x:c>
      <x:c r="P31" s="32" t="n">
        <x:f>IF(OR(COUNT(L31)=0,L31=0,COUNT(O31)=0),"",O31*90/L31)</x:f>
        <x:v>0</x:v>
      </x:c>
      <x:c r="Q31" s="26" t="str">
        <x:f>IF(COUNT(J31:N31)=5,"Full","Partial")</x:f>
        <x:v>Full</x:v>
      </x:c>
      <x:c r="R31" s="26" t="str">
        <x:v>https://www.transfermarkt.us/netherlands/kader/verein/3379</x:v>
      </x:c>
      <x:c r="S31" s="26" t="str">
        <x:v>Opta Analyst</x:v>
      </x:c>
      <x:c r="T31" s="26" t="str">
        <x:v>https://theanalyst.com/players/6606/robin-roefs/career</x:v>
      </x:c>
      <x:c r="U31" s="26"/>
    </x:row>
    <x:row r="32">
      <x:c r="A32" s="26" t="str">
        <x:v>Netherlands</x:v>
      </x:c>
      <x:c r="B32" s="26" t="str">
        <x:v>Mark Flekken</x:v>
      </x:c>
      <x:c r="C32" s="26" t="str">
        <x:v>Goalkeeper</x:v>
      </x:c>
      <x:c r="D32" s="26" t="str">
        <x:v>GK</x:v>
      </x:c>
      <x:c r="E32" s="28" t="n">
        <x:v>33</x:v>
      </x:c>
      <x:c r="F32" s="30" t="n">
        <x:v>6</x:v>
      </x:c>
      <x:c r="G32" s="26" t="str">
        <x:v>2025/26</x:v>
      </x:c>
      <x:c r="H32" s="26" t="str">
        <x:v>Bundesliga</x:v>
      </x:c>
      <x:c r="I32" s="26" t="str">
        <x:v>Bayer Leverkusen</x:v>
      </x:c>
      <x:c r="J32" s="28" t="n">
        <x:v>24</x:v>
      </x:c>
      <x:c r="K32" s="28" t="n">
        <x:v>24</x:v>
      </x:c>
      <x:c r="L32" s="28" t="n">
        <x:v>2130</x:v>
      </x:c>
      <x:c r="M32" s="28" t="n">
        <x:v>0</x:v>
      </x:c>
      <x:c r="N32" s="28" t="n">
        <x:v>0</x:v>
      </x:c>
      <x:c r="O32" s="28" t="n">
        <x:f>IF(COUNT(M32:N32)&lt;2,"",SUM(M32:N32))</x:f>
        <x:v>0</x:v>
      </x:c>
      <x:c r="P32" s="32" t="n">
        <x:f>IF(OR(COUNT(L32)=0,L32=0,COUNT(O32)=0),"",O32*90/L32)</x:f>
        <x:v>0</x:v>
      </x:c>
      <x:c r="Q32" s="26" t="str">
        <x:f>IF(COUNT(J32:N32)=5,"Full","Partial")</x:f>
        <x:v>Full</x:v>
      </x:c>
      <x:c r="R32" s="26" t="str">
        <x:v>https://www.transfermarkt.us/netherlands/kader/verein/3379</x:v>
      </x:c>
      <x:c r="S32" s="26" t="str">
        <x:v>Transfermarkt</x:v>
      </x:c>
      <x:c r="T32" s="26" t="str">
        <x:v>https://www.transfermarkt.com/schnellsuche/ergebnis/schnellsuche?query=Mark+Flekken</x:v>
      </x:c>
      <x:c r="U32" s="26"/>
    </x:row>
    <x:row r="33">
      <x:c r="A33" s="26" t="str">
        <x:v>Netherlands</x:v>
      </x:c>
      <x:c r="B33" s="26" t="str">
        <x:v>Micky van de Ven</x:v>
      </x:c>
      <x:c r="C33" s="26" t="str">
        <x:v>Centre-Back</x:v>
      </x:c>
      <x:c r="D33" s="26" t="str">
        <x:v>DF</x:v>
      </x:c>
      <x:c r="E33" s="28" t="n">
        <x:v>25</x:v>
      </x:c>
      <x:c r="F33" s="30" t="n">
        <x:v>50</x:v>
      </x:c>
      <x:c r="G33" s="26" t="str">
        <x:v>2025/26</x:v>
      </x:c>
      <x:c r="H33" s="26" t="str">
        <x:v>Premier League</x:v>
      </x:c>
      <x:c r="I33" s="26" t="str">
        <x:v>Tottenham Hotspur</x:v>
      </x:c>
      <x:c r="J33" s="28" t="n">
        <x:v>35</x:v>
      </x:c>
      <x:c r="K33" s="28" t="n">
        <x:v>35</x:v>
      </x:c>
      <x:c r="L33" s="28" t="n">
        <x:v>3044</x:v>
      </x:c>
      <x:c r="M33" s="28" t="n">
        <x:v>4</x:v>
      </x:c>
      <x:c r="N33" s="28" t="n">
        <x:v>1</x:v>
      </x:c>
      <x:c r="O33" s="28" t="n">
        <x:f>IF(COUNT(M33:N33)&lt;2,"",SUM(M33:N33))</x:f>
        <x:v>5</x:v>
      </x:c>
      <x:c r="P33" s="32" t="n">
        <x:f>IF(OR(COUNT(L33)=0,L33=0,COUNT(O33)=0),"",O33*90/L33)</x:f>
        <x:v>0.1478318002628121</x:v>
      </x:c>
      <x:c r="Q33" s="26" t="str">
        <x:f>IF(COUNT(J33:N33)=5,"Full","Partial")</x:f>
        <x:v>Full</x:v>
      </x:c>
      <x:c r="R33" s="26" t="str">
        <x:v>https://www.transfermarkt.us/netherlands/kader/verein/3379</x:v>
      </x:c>
      <x:c r="S33" s="26" t="str">
        <x:v>FBref</x:v>
      </x:c>
      <x:c r="T33" s="26" t="str">
        <x:v>https://fbref.com/en/search/search.fcgi?search=Micky+van+de+Ven</x:v>
      </x:c>
      <x:c r="U33" s="26"/>
    </x:row>
    <x:row r="34">
      <x:c r="A34" s="26" t="str">
        <x:v>Netherlands</x:v>
      </x:c>
      <x:c r="B34" s="26" t="str">
        <x:v>Jan Paul van Hecke</x:v>
      </x:c>
      <x:c r="C34" s="26" t="str">
        <x:v>Centre-Back</x:v>
      </x:c>
      <x:c r="D34" s="26" t="str">
        <x:v>DF</x:v>
      </x:c>
      <x:c r="E34" s="28" t="n">
        <x:v>26</x:v>
      </x:c>
      <x:c r="F34" s="30" t="n">
        <x:v>45</x:v>
      </x:c>
      <x:c r="G34" s="26" t="str">
        <x:v>2025/26</x:v>
      </x:c>
      <x:c r="H34" s="26" t="str">
        <x:v>Premier League</x:v>
      </x:c>
      <x:c r="I34" s="26" t="str">
        <x:v>Brighton</x:v>
      </x:c>
      <x:c r="J34" s="28" t="n">
        <x:v>36</x:v>
      </x:c>
      <x:c r="K34" s="28" t="n">
        <x:v>36</x:v>
      </x:c>
      <x:c r="L34" s="28" t="n">
        <x:v>3211</x:v>
      </x:c>
      <x:c r="M34" s="28" t="n">
        <x:v>3</x:v>
      </x:c>
      <x:c r="N34" s="28" t="n">
        <x:v>3</x:v>
      </x:c>
      <x:c r="O34" s="28" t="n">
        <x:f>IF(COUNT(M34:N34)&lt;2,"",SUM(M34:N34))</x:f>
        <x:v>6</x:v>
      </x:c>
      <x:c r="P34" s="32" t="n">
        <x:f>IF(OR(COUNT(L34)=0,L34=0,COUNT(O34)=0),"",O34*90/L34)</x:f>
        <x:v>0.16817190906259732</x:v>
      </x:c>
      <x:c r="Q34" s="26" t="str">
        <x:f>IF(COUNT(J34:N34)=5,"Full","Partial")</x:f>
        <x:v>Full</x:v>
      </x:c>
      <x:c r="R34" s="26" t="str">
        <x:v>https://www.transfermarkt.us/netherlands/kader/verein/3379</x:v>
      </x:c>
      <x:c r="S34" s="26" t="str">
        <x:v>FBref</x:v>
      </x:c>
      <x:c r="T34" s="26" t="str">
        <x:v>https://fbref.com/en/search/search.fcgi?search=Jan+Paul+van+Hecke</x:v>
      </x:c>
      <x:c r="U34" s="26"/>
    </x:row>
    <x:row r="35">
      <x:c r="A35" s="26" t="str">
        <x:v>Netherlands</x:v>
      </x:c>
      <x:c r="B35" s="26" t="str">
        <x:v>Virgil van Dijk</x:v>
      </x:c>
      <x:c r="C35" s="26" t="str">
        <x:v>Centre-Back</x:v>
      </x:c>
      <x:c r="D35" s="26" t="str">
        <x:v>DF</x:v>
      </x:c>
      <x:c r="E35" s="28" t="n">
        <x:v>34</x:v>
      </x:c>
      <x:c r="F35" s="30" t="n">
        <x:v>15</x:v>
      </x:c>
      <x:c r="G35" s="26" t="str">
        <x:v>2025/26</x:v>
      </x:c>
      <x:c r="H35" s="26" t="str">
        <x:v>Premier League</x:v>
      </x:c>
      <x:c r="I35" s="26" t="str">
        <x:v>Liverpool</x:v>
      </x:c>
      <x:c r="J35" s="28" t="n">
        <x:v>38</x:v>
      </x:c>
      <x:c r="K35" s="28" t="n">
        <x:v>38</x:v>
      </x:c>
      <x:c r="L35" s="28" t="n">
        <x:v>3420</x:v>
      </x:c>
      <x:c r="M35" s="28" t="n">
        <x:v>6</x:v>
      </x:c>
      <x:c r="N35" s="28" t="n">
        <x:v>0</x:v>
      </x:c>
      <x:c r="O35" s="28" t="n">
        <x:f>IF(COUNT(M35:N35)&lt;2,"",SUM(M35:N35))</x:f>
        <x:v>6</x:v>
      </x:c>
      <x:c r="P35" s="32" t="n">
        <x:f>IF(OR(COUNT(L35)=0,L35=0,COUNT(O35)=0),"",O35*90/L35)</x:f>
        <x:v>0.15789473684210525</x:v>
      </x:c>
      <x:c r="Q35" s="26" t="str">
        <x:f>IF(COUNT(J35:N35)=5,"Full","Partial")</x:f>
        <x:v>Full</x:v>
      </x:c>
      <x:c r="R35" s="26" t="str">
        <x:v>https://www.transfermarkt.us/netherlands/kader/verein/3379</x:v>
      </x:c>
      <x:c r="S35" s="26" t="str">
        <x:v>FBref</x:v>
      </x:c>
      <x:c r="T35" s="26" t="str">
        <x:v>https://fbref.com/en/search/search.fcgi?search=Virgil+van+Dijk</x:v>
      </x:c>
      <x:c r="U35" s="26"/>
    </x:row>
    <x:row r="36">
      <x:c r="A36" s="26" t="str">
        <x:v>Netherlands</x:v>
      </x:c>
      <x:c r="B36" s="26" t="str">
        <x:v>Nathan Aké</x:v>
      </x:c>
      <x:c r="C36" s="26" t="str">
        <x:v>Centre-Back</x:v>
      </x:c>
      <x:c r="D36" s="26" t="str">
        <x:v>DF</x:v>
      </x:c>
      <x:c r="E36" s="28" t="n">
        <x:v>31</x:v>
      </x:c>
      <x:c r="F36" s="30" t="n">
        <x:v>12</x:v>
      </x:c>
      <x:c r="G36" s="26" t="str">
        <x:v>2025/26</x:v>
      </x:c>
      <x:c r="H36" s="26" t="str">
        <x:v>Premier League</x:v>
      </x:c>
      <x:c r="I36" s="26" t="str">
        <x:v>Manchester City</x:v>
      </x:c>
      <x:c r="J36" s="28" t="n">
        <x:v>18</x:v>
      </x:c>
      <x:c r="K36" s="28" t="n">
        <x:v>6</x:v>
      </x:c>
      <x:c r="L36" s="28" t="n">
        <x:v>695</x:v>
      </x:c>
      <x:c r="M36" s="28" t="n">
        <x:v>0</x:v>
      </x:c>
      <x:c r="N36" s="28" t="n">
        <x:v>0</x:v>
      </x:c>
      <x:c r="O36" s="28" t="n">
        <x:f>IF(COUNT(M36:N36)&lt;2,"",SUM(M36:N36))</x:f>
        <x:v>0</x:v>
      </x:c>
      <x:c r="P36" s="32" t="n">
        <x:f>IF(OR(COUNT(L36)=0,L36=0,COUNT(O36)=0),"",O36*90/L36)</x:f>
        <x:v>0</x:v>
      </x:c>
      <x:c r="Q36" s="26" t="str">
        <x:f>IF(COUNT(J36:N36)=5,"Full","Partial")</x:f>
        <x:v>Full</x:v>
      </x:c>
      <x:c r="R36" s="26" t="str">
        <x:v>https://www.transfermarkt.us/netherlands/kader/verein/3379</x:v>
      </x:c>
      <x:c r="S36" s="26" t="str">
        <x:v>FBref</x:v>
      </x:c>
      <x:c r="T36" s="26" t="str">
        <x:v>https://fbref.com/en/players/eaeca114/Nathan-Ake</x:v>
      </x:c>
      <x:c r="U36" s="26"/>
    </x:row>
    <x:row r="37">
      <x:c r="A37" s="26" t="str">
        <x:v>Netherlands</x:v>
      </x:c>
      <x:c r="B37" s="26" t="str">
        <x:v>Jorrel Hato</x:v>
      </x:c>
      <x:c r="C37" s="26" t="str">
        <x:v>Left-Back</x:v>
      </x:c>
      <x:c r="D37" s="26" t="str">
        <x:v>DF</x:v>
      </x:c>
      <x:c r="E37" s="28" t="n">
        <x:v>20</x:v>
      </x:c>
      <x:c r="F37" s="30" t="n">
        <x:v>40</x:v>
      </x:c>
      <x:c r="G37" s="26" t="str">
        <x:v>2025/26</x:v>
      </x:c>
      <x:c r="H37" s="26" t="str">
        <x:v>Premier League</x:v>
      </x:c>
      <x:c r="I37" s="26" t="str">
        <x:v>Chelsea</x:v>
      </x:c>
      <x:c r="J37" s="28" t="n">
        <x:v>22</x:v>
      </x:c>
      <x:c r="K37" s="28" t="n">
        <x:v>12</x:v>
      </x:c>
      <x:c r="L37" s="28" t="n">
        <x:v>1143</x:v>
      </x:c>
      <x:c r="M37" s="28" t="n">
        <x:v>0</x:v>
      </x:c>
      <x:c r="N37" s="28" t="n">
        <x:v>0</x:v>
      </x:c>
      <x:c r="O37" s="28" t="n">
        <x:f>IF(COUNT(M37:N37)&lt;2,"",SUM(M37:N37))</x:f>
        <x:v>0</x:v>
      </x:c>
      <x:c r="P37" s="32" t="n">
        <x:f>IF(OR(COUNT(L37)=0,L37=0,COUNT(O37)=0),"",O37*90/L37)</x:f>
        <x:v>0</x:v>
      </x:c>
      <x:c r="Q37" s="26" t="str">
        <x:f>IF(COUNT(J37:N37)=5,"Full","Partial")</x:f>
        <x:v>Full</x:v>
      </x:c>
      <x:c r="R37" s="26" t="str">
        <x:v>https://www.transfermarkt.us/netherlands/kader/verein/3379</x:v>
      </x:c>
      <x:c r="S37" s="26" t="str">
        <x:v>FBref</x:v>
      </x:c>
      <x:c r="T37" s="26" t="str">
        <x:v>https://fbref.com/en/search/search.fcgi?search=Jorrel+Hato</x:v>
      </x:c>
      <x:c r="U37" s="26"/>
    </x:row>
    <x:row r="38">
      <x:c r="A38" s="26" t="str">
        <x:v>Netherlands</x:v>
      </x:c>
      <x:c r="B38" s="26" t="str">
        <x:v>Mats Wieffer</x:v>
      </x:c>
      <x:c r="C38" s="26" t="str">
        <x:v>Right-Back</x:v>
      </x:c>
      <x:c r="D38" s="26" t="str">
        <x:v>DF</x:v>
      </x:c>
      <x:c r="E38" s="28" t="n">
        <x:v>26</x:v>
      </x:c>
      <x:c r="F38" s="30" t="n">
        <x:v>25</x:v>
      </x:c>
      <x:c r="G38" s="26" t="str">
        <x:v>2025/26</x:v>
      </x:c>
      <x:c r="H38" s="26" t="str">
        <x:v>Premier League</x:v>
      </x:c>
      <x:c r="I38" s="26" t="str">
        <x:v>Brighton</x:v>
      </x:c>
      <x:c r="J38" s="28" t="n">
        <x:v>26</x:v>
      </x:c>
      <x:c r="K38" s="28" t="n">
        <x:v>23</x:v>
      </x:c>
      <x:c r="L38" s="28" t="n">
        <x:v>1909</x:v>
      </x:c>
      <x:c r="M38" s="28" t="n">
        <x:v>2</x:v>
      </x:c>
      <x:c r="N38" s="28" t="n">
        <x:v>3</x:v>
      </x:c>
      <x:c r="O38" s="28" t="n">
        <x:f>IF(COUNT(M38:N38)&lt;2,"",SUM(M38:N38))</x:f>
        <x:v>5</x:v>
      </x:c>
      <x:c r="P38" s="32" t="n">
        <x:f>IF(OR(COUNT(L38)=0,L38=0,COUNT(O38)=0),"",O38*90/L38)</x:f>
        <x:v>0.2357255107386066</x:v>
      </x:c>
      <x:c r="Q38" s="26" t="str">
        <x:f>IF(COUNT(J38:N38)=5,"Full","Partial")</x:f>
        <x:v>Full</x:v>
      </x:c>
      <x:c r="R38" s="26" t="str">
        <x:v>https://www.transfermarkt.us/netherlands/kader/verein/3379</x:v>
      </x:c>
      <x:c r="S38" s="26" t="str">
        <x:v>FBref</x:v>
      </x:c>
      <x:c r="T38" s="26" t="str">
        <x:v>https://fbref.com/en/search/search.fcgi?search=Mats+Wieffer</x:v>
      </x:c>
      <x:c r="U38" s="26"/>
    </x:row>
    <x:row r="39">
      <x:c r="A39" s="26" t="str">
        <x:v>Netherlands</x:v>
      </x:c>
      <x:c r="B39" s="26" t="str">
        <x:v>Denzel Dumfries</x:v>
      </x:c>
      <x:c r="C39" s="26" t="str">
        <x:v>Right-Back</x:v>
      </x:c>
      <x:c r="D39" s="26" t="str">
        <x:v>DF</x:v>
      </x:c>
      <x:c r="E39" s="28" t="n">
        <x:v>30</x:v>
      </x:c>
      <x:c r="F39" s="30" t="n">
        <x:v>25</x:v>
      </x:c>
      <x:c r="G39" s="26" t="str">
        <x:v>2025/26</x:v>
      </x:c>
      <x:c r="H39" s="26" t="str">
        <x:v>Serie A</x:v>
      </x:c>
      <x:c r="I39" s="26" t="str">
        <x:v>Inter</x:v>
      </x:c>
      <x:c r="J39" s="28" t="n">
        <x:v>20</x:v>
      </x:c>
      <x:c r="K39" s="28" t="n">
        <x:v>15</x:v>
      </x:c>
      <x:c r="L39" s="28" t="n">
        <x:v>1327</x:v>
      </x:c>
      <x:c r="M39" s="28" t="n">
        <x:v>3</x:v>
      </x:c>
      <x:c r="N39" s="28" t="n">
        <x:v>1</x:v>
      </x:c>
      <x:c r="O39" s="28" t="n">
        <x:f>IF(COUNT(M39:N39)&lt;2,"",SUM(M39:N39))</x:f>
        <x:v>4</x:v>
      </x:c>
      <x:c r="P39" s="32" t="n">
        <x:f>IF(OR(COUNT(L39)=0,L39=0,COUNT(O39)=0),"",O39*90/L39)</x:f>
        <x:v>0.2712886209495102</x:v>
      </x:c>
      <x:c r="Q39" s="26" t="str">
        <x:f>IF(COUNT(J39:N39)=5,"Full","Partial")</x:f>
        <x:v>Full</x:v>
      </x:c>
      <x:c r="R39" s="26" t="str">
        <x:v>https://www.transfermarkt.us/netherlands/kader/verein/3379</x:v>
      </x:c>
      <x:c r="S39" s="26" t="str">
        <x:v>FBref</x:v>
      </x:c>
      <x:c r="T39" s="26" t="str">
        <x:v>https://fbref.com/en/search/search.fcgi?search=Denzel+Dumfries</x:v>
      </x:c>
      <x:c r="U39" s="26"/>
    </x:row>
    <x:row r="40">
      <x:c r="A40" s="26" t="str">
        <x:v>Netherlands</x:v>
      </x:c>
      <x:c r="B40" s="26" t="str">
        <x:v>Lutsharel Geertruida</x:v>
      </x:c>
      <x:c r="C40" s="26" t="str">
        <x:v>Right-Back</x:v>
      </x:c>
      <x:c r="D40" s="26" t="str">
        <x:v>DF</x:v>
      </x:c>
      <x:c r="E40" s="28" t="n">
        <x:v>25</x:v>
      </x:c>
      <x:c r="F40" s="30" t="n">
        <x:v>20</x:v>
      </x:c>
      <x:c r="G40" s="26" t="str">
        <x:v>2025/26</x:v>
      </x:c>
      <x:c r="H40" s="26" t="str">
        <x:v>Premier League</x:v>
      </x:c>
      <x:c r="I40" s="26" t="str">
        <x:v>Sunderland</x:v>
      </x:c>
      <x:c r="J40" s="28" t="n">
        <x:v>28</x:v>
      </x:c>
      <x:c r="K40" s="28" t="n">
        <x:v>17</x:v>
      </x:c>
      <x:c r="L40" s="28" t="n">
        <x:v>1685</x:v>
      </x:c>
      <x:c r="M40" s="28" t="n">
        <x:v>0</x:v>
      </x:c>
      <x:c r="N40" s="28" t="n">
        <x:v>0</x:v>
      </x:c>
      <x:c r="O40" s="28" t="n">
        <x:f>IF(COUNT(M40:N40)&lt;2,"",SUM(M40:N40))</x:f>
        <x:v>0</x:v>
      </x:c>
      <x:c r="P40" s="32" t="n">
        <x:f>IF(OR(COUNT(L40)=0,L40=0,COUNT(O40)=0),"",O40*90/L40)</x:f>
        <x:v>0</x:v>
      </x:c>
      <x:c r="Q40" s="26" t="str">
        <x:f>IF(COUNT(J40:N40)=5,"Full","Partial")</x:f>
        <x:v>Full</x:v>
      </x:c>
      <x:c r="R40" s="26" t="str">
        <x:v>https://www.transfermarkt.us/netherlands/kader/verein/3379</x:v>
      </x:c>
      <x:c r="S40" s="26" t="str">
        <x:v>FBref</x:v>
      </x:c>
      <x:c r="T40" s="26" t="str">
        <x:v>https://fbref.com/en/search/search.fcgi?search=Lutsharel+Geertruida</x:v>
      </x:c>
      <x:c r="U40" s="26"/>
    </x:row>
    <x:row r="41">
      <x:c r="A41" s="26" t="str">
        <x:v>Netherlands</x:v>
      </x:c>
      <x:c r="B41" s="26" t="str">
        <x:v>Ryan Gravenberch</x:v>
      </x:c>
      <x:c r="C41" s="26" t="str">
        <x:v>Defensive Midfield</x:v>
      </x:c>
      <x:c r="D41" s="26" t="str">
        <x:v>MF</x:v>
      </x:c>
      <x:c r="E41" s="28" t="n">
        <x:v>24</x:v>
      </x:c>
      <x:c r="F41" s="30" t="n">
        <x:v>80</x:v>
      </x:c>
      <x:c r="G41" s="26" t="str">
        <x:v>2025/26</x:v>
      </x:c>
      <x:c r="H41" s="26" t="str">
        <x:v>Premier League</x:v>
      </x:c>
      <x:c r="I41" s="26" t="str">
        <x:v>Liverpool</x:v>
      </x:c>
      <x:c r="J41" s="28" t="n">
        <x:v>36</x:v>
      </x:c>
      <x:c r="K41" s="28" t="n">
        <x:v>34</x:v>
      </x:c>
      <x:c r="L41" s="28" t="n">
        <x:v>2996</x:v>
      </x:c>
      <x:c r="M41" s="28" t="n">
        <x:v>5</x:v>
      </x:c>
      <x:c r="N41" s="28" t="n">
        <x:v>3</x:v>
      </x:c>
      <x:c r="O41" s="28" t="n">
        <x:f>IF(COUNT(M41:N41)&lt;2,"",SUM(M41:N41))</x:f>
        <x:v>8</x:v>
      </x:c>
      <x:c r="P41" s="32" t="n">
        <x:f>IF(OR(COUNT(L41)=0,L41=0,COUNT(O41)=0),"",O41*90/L41)</x:f>
        <x:v>0.24032042723631508</x:v>
      </x:c>
      <x:c r="Q41" s="26" t="str">
        <x:f>IF(COUNT(J41:N41)=5,"Full","Partial")</x:f>
        <x:v>Full</x:v>
      </x:c>
      <x:c r="R41" s="26" t="str">
        <x:v>https://www.transfermarkt.us/netherlands/kader/verein/3379</x:v>
      </x:c>
      <x:c r="S41" s="26" t="str">
        <x:v>FBref</x:v>
      </x:c>
      <x:c r="T41" s="26" t="str">
        <x:v>https://fbref.com/en/search/search.fcgi?search=Ryan+Gravenberch</x:v>
      </x:c>
      <x:c r="U41" s="26"/>
    </x:row>
    <x:row r="42">
      <x:c r="A42" s="26" t="str">
        <x:v>Netherlands</x:v>
      </x:c>
      <x:c r="B42" s="26" t="str">
        <x:v>Teun Koopmeiners</x:v>
      </x:c>
      <x:c r="C42" s="26" t="str">
        <x:v>Defensive Midfield</x:v>
      </x:c>
      <x:c r="D42" s="26" t="str">
        <x:v>MF</x:v>
      </x:c>
      <x:c r="E42" s="28" t="n">
        <x:v>28</x:v>
      </x:c>
      <x:c r="F42" s="30" t="n">
        <x:v>14</x:v>
      </x:c>
      <x:c r="G42" s="26" t="str">
        <x:v>2025/26</x:v>
      </x:c>
      <x:c r="H42" s="26" t="str">
        <x:v>Serie A</x:v>
      </x:c>
      <x:c r="I42" s="26" t="str">
        <x:v>Juventus</x:v>
      </x:c>
      <x:c r="J42" s="28" t="n">
        <x:v>33</x:v>
      </x:c>
      <x:c r="K42" s="28" t="n">
        <x:v>18</x:v>
      </x:c>
      <x:c r="L42" s="28" t="n">
        <x:v>1827</x:v>
      </x:c>
      <x:c r="M42" s="28" t="n">
        <x:v>0</x:v>
      </x:c>
      <x:c r="N42" s="28" t="n">
        <x:v>0</x:v>
      </x:c>
      <x:c r="O42" s="28" t="n">
        <x:f>IF(COUNT(M42:N42)&lt;2,"",SUM(M42:N42))</x:f>
        <x:v>0</x:v>
      </x:c>
      <x:c r="P42" s="32" t="n">
        <x:f>IF(OR(COUNT(L42)=0,L42=0,COUNT(O42)=0),"",O42*90/L42)</x:f>
        <x:v>0</x:v>
      </x:c>
      <x:c r="Q42" s="26" t="str">
        <x:f>IF(COUNT(J42:N42)=5,"Full","Partial")</x:f>
        <x:v>Full</x:v>
      </x:c>
      <x:c r="R42" s="26" t="str">
        <x:v>https://www.transfermarkt.us/netherlands/kader/verein/3379</x:v>
      </x:c>
      <x:c r="S42" s="26" t="str">
        <x:v>FBref</x:v>
      </x:c>
      <x:c r="T42" s="26" t="str">
        <x:v>https://fbref.com/en/players/a26fb8aa/</x:v>
      </x:c>
      <x:c r="U42" s="26"/>
    </x:row>
    <x:row r="43">
      <x:c r="A43" s="26" t="str">
        <x:v>Netherlands</x:v>
      </x:c>
      <x:c r="B43" s="26" t="str">
        <x:v>Marten de Roon</x:v>
      </x:c>
      <x:c r="C43" s="26" t="str">
        <x:v>Defensive Midfield</x:v>
      </x:c>
      <x:c r="D43" s="26" t="str">
        <x:v>MF</x:v>
      </x:c>
      <x:c r="E43" s="28" t="n">
        <x:v>35</x:v>
      </x:c>
      <x:c r="F43" s="30" t="n">
        <x:v>3.2</x:v>
      </x:c>
      <x:c r="G43" s="26" t="str">
        <x:v>2025/26</x:v>
      </x:c>
      <x:c r="H43" s="26" t="str">
        <x:v>Serie A</x:v>
      </x:c>
      <x:c r="I43" s="26" t="str">
        <x:v>Atalanta</x:v>
      </x:c>
      <x:c r="J43" s="28" t="n">
        <x:v>34</x:v>
      </x:c>
      <x:c r="K43" s="28" t="n">
        <x:v>32</x:v>
      </x:c>
      <x:c r="L43" s="28" t="n">
        <x:v>2691</x:v>
      </x:c>
      <x:c r="M43" s="28" t="n">
        <x:v>1</x:v>
      </x:c>
      <x:c r="N43" s="28" t="n">
        <x:v>2</x:v>
      </x:c>
      <x:c r="O43" s="28" t="n">
        <x:f>IF(COUNT(M43:N43)&lt;2,"",SUM(M43:N43))</x:f>
        <x:v>3</x:v>
      </x:c>
      <x:c r="P43" s="32" t="n">
        <x:f>IF(OR(COUNT(L43)=0,L43=0,COUNT(O43)=0),"",O43*90/L43)</x:f>
        <x:v>0.10033444816053512</x:v>
      </x:c>
      <x:c r="Q43" s="26" t="str">
        <x:f>IF(COUNT(J43:N43)=5,"Full","Partial")</x:f>
        <x:v>Full</x:v>
      </x:c>
      <x:c r="R43" s="26" t="str">
        <x:v>https://www.transfermarkt.us/netherlands/kader/verein/3379</x:v>
      </x:c>
      <x:c r="S43" s="26" t="str">
        <x:v>FBref</x:v>
      </x:c>
      <x:c r="T43" s="26" t="str">
        <x:v>https://fbref.com/en/players/2a1beb34/</x:v>
      </x:c>
      <x:c r="U43" s="26"/>
    </x:row>
    <x:row r="44">
      <x:c r="A44" s="26" t="str">
        <x:v>Netherlands</x:v>
      </x:c>
      <x:c r="B44" s="26" t="str">
        <x:v>Tijjani Reijnders</x:v>
      </x:c>
      <x:c r="C44" s="26" t="str">
        <x:v>Central Midfield</x:v>
      </x:c>
      <x:c r="D44" s="26" t="str">
        <x:v>MF</x:v>
      </x:c>
      <x:c r="E44" s="28" t="n">
        <x:v>27</x:v>
      </x:c>
      <x:c r="F44" s="30" t="n">
        <x:v>50</x:v>
      </x:c>
      <x:c r="G44" s="26" t="str">
        <x:v>2025/26</x:v>
      </x:c>
      <x:c r="H44" s="26" t="str">
        <x:v>Premier League</x:v>
      </x:c>
      <x:c r="I44" s="26" t="str">
        <x:v>Manchester City</x:v>
      </x:c>
      <x:c r="J44" s="28" t="n">
        <x:v>28</x:v>
      </x:c>
      <x:c r="K44" s="28" t="n">
        <x:v>19</x:v>
      </x:c>
      <x:c r="L44" s="28" t="n">
        <x:v>1636</x:v>
      </x:c>
      <x:c r="M44" s="28" t="n">
        <x:v>5</x:v>
      </x:c>
      <x:c r="N44" s="28" t="n">
        <x:v>2</x:v>
      </x:c>
      <x:c r="O44" s="28" t="n">
        <x:f>IF(COUNT(M44:N44)&lt;2,"",SUM(M44:N44))</x:f>
        <x:v>7</x:v>
      </x:c>
      <x:c r="P44" s="32" t="n">
        <x:f>IF(OR(COUNT(L44)=0,L44=0,COUNT(O44)=0),"",O44*90/L44)</x:f>
        <x:v>0.38508557457212717</x:v>
      </x:c>
      <x:c r="Q44" s="26" t="str">
        <x:f>IF(COUNT(J44:N44)=5,"Full","Partial")</x:f>
        <x:v>Full</x:v>
      </x:c>
      <x:c r="R44" s="26" t="str">
        <x:v>https://www.transfermarkt.us/netherlands/kader/verein/3379</x:v>
      </x:c>
      <x:c r="S44" s="26" t="str">
        <x:v>FBref</x:v>
      </x:c>
      <x:c r="T44" s="26" t="str">
        <x:v>https://fbref.com/en/search/search.fcgi?search=Tijjani+Reijnders</x:v>
      </x:c>
      <x:c r="U44" s="26"/>
    </x:row>
    <x:row r="45">
      <x:c r="A45" s="26" t="str">
        <x:v>Netherlands</x:v>
      </x:c>
      <x:c r="B45" s="26" t="str">
        <x:v>Frenkie de Jong</x:v>
      </x:c>
      <x:c r="C45" s="26" t="str">
        <x:v>Central Midfield</x:v>
      </x:c>
      <x:c r="D45" s="26" t="str">
        <x:v>MF</x:v>
      </x:c>
      <x:c r="E45" s="28" t="n">
        <x:v>29</x:v>
      </x:c>
      <x:c r="F45" s="30" t="n">
        <x:v>35</x:v>
      </x:c>
      <x:c r="G45" s="26" t="str">
        <x:v>2025/26</x:v>
      </x:c>
      <x:c r="H45" s="26" t="str">
        <x:v>La Liga</x:v>
      </x:c>
      <x:c r="I45" s="26" t="str">
        <x:v>Barcelona</x:v>
      </x:c>
      <x:c r="J45" s="28" t="n">
        <x:v>25</x:v>
      </x:c>
      <x:c r="K45" s="28" t="n">
        <x:v>16</x:v>
      </x:c>
      <x:c r="L45" s="28" t="n">
        <x:v>1630</x:v>
      </x:c>
      <x:c r="M45" s="28" t="n">
        <x:v>1</x:v>
      </x:c>
      <x:c r="N45" s="28" t="n">
        <x:v>5</x:v>
      </x:c>
      <x:c r="O45" s="28" t="n">
        <x:f>IF(COUNT(M45:N45)&lt;2,"",SUM(M45:N45))</x:f>
        <x:v>6</x:v>
      </x:c>
      <x:c r="P45" s="32" t="n">
        <x:f>IF(OR(COUNT(L45)=0,L45=0,COUNT(O45)=0),"",O45*90/L45)</x:f>
        <x:v>0.3312883435582822</x:v>
      </x:c>
      <x:c r="Q45" s="26" t="str">
        <x:f>IF(COUNT(J45:N45)=5,"Full","Partial")</x:f>
        <x:v>Full</x:v>
      </x:c>
      <x:c r="R45" s="26" t="str">
        <x:v>https://www.transfermarkt.us/netherlands/kader/verein/3379</x:v>
      </x:c>
      <x:c r="S45" s="26" t="str">
        <x:v>FBref</x:v>
      </x:c>
      <x:c r="T45" s="26" t="str">
        <x:v>https://fbref.com/en/search/search.fcgi?search=Frenkie+de+Jong</x:v>
      </x:c>
      <x:c r="U45" s="26"/>
    </x:row>
    <x:row r="46">
      <x:c r="A46" s="26" t="str">
        <x:v>Netherlands</x:v>
      </x:c>
      <x:c r="B46" s="26" t="str">
        <x:v>Quinten Timber</x:v>
      </x:c>
      <x:c r="C46" s="26" t="str">
        <x:v>Central Midfield</x:v>
      </x:c>
      <x:c r="D46" s="26" t="str">
        <x:v>MF</x:v>
      </x:c>
      <x:c r="E46" s="28" t="n">
        <x:v>25</x:v>
      </x:c>
      <x:c r="F46" s="30" t="n">
        <x:v>25</x:v>
      </x:c>
      <x:c r="G46" s="26" t="str">
        <x:v>2025/26</x:v>
      </x:c>
      <x:c r="H46" s="26" t="str">
        <x:v>Eredivisie + Ligue 1</x:v>
      </x:c>
      <x:c r="I46" s="26" t="str">
        <x:v>Feyenoord + Marseille</x:v>
      </x:c>
      <x:c r="J46" s="28" t="n">
        <x:v>32</x:v>
      </x:c>
      <x:c r="K46" s="28" t="n">
        <x:v>28</x:v>
      </x:c>
      <x:c r="L46" s="28" t="n">
        <x:v>2430</x:v>
      </x:c>
      <x:c r="M46" s="28" t="n">
        <x:v>2</x:v>
      </x:c>
      <x:c r="N46" s="28" t="n">
        <x:v>4</x:v>
      </x:c>
      <x:c r="O46" s="28" t="n">
        <x:f>IF(COUNT(M46:N46)&lt;2,"",SUM(M46:N46))</x:f>
        <x:v>6</x:v>
      </x:c>
      <x:c r="P46" s="32" t="n">
        <x:f>IF(OR(COUNT(L46)=0,L46=0,COUNT(O46)=0),"",O46*90/L46)</x:f>
        <x:v>0.2222222222222222</x:v>
      </x:c>
      <x:c r="Q46" s="26" t="str">
        <x:f>IF(COUNT(J46:N46)=5,"Full","Partial")</x:f>
        <x:v>Full</x:v>
      </x:c>
      <x:c r="R46" s="26" t="str">
        <x:v>https://www.transfermarkt.us/netherlands/kader/verein/3379</x:v>
      </x:c>
      <x:c r="S46" s="26" t="str">
        <x:v>Transfermarkt</x:v>
      </x:c>
      <x:c r="T46" s="26" t="str">
        <x:v>https://www.transfermarkt.com/schnellsuche/ergebnis/schnellsuche?query=Quinten+Timber</x:v>
      </x:c>
      <x:c r="U46" s="26" t="str">
        <x:v>Season aggregate across Feyenoord and Marseille.</x:v>
      </x:c>
    </x:row>
    <x:row r="47">
      <x:c r="A47" s="26" t="str">
        <x:v>Netherlands</x:v>
      </x:c>
      <x:c r="B47" s="26" t="str">
        <x:v>Justin Kluivert</x:v>
      </x:c>
      <x:c r="C47" s="26" t="str">
        <x:v>Attacking Midfield</x:v>
      </x:c>
      <x:c r="D47" s="26" t="str">
        <x:v>MF</x:v>
      </x:c>
      <x:c r="E47" s="28" t="n">
        <x:v>27</x:v>
      </x:c>
      <x:c r="F47" s="30" t="n">
        <x:v>25</x:v>
      </x:c>
      <x:c r="G47" s="26" t="str">
        <x:v>2025/26</x:v>
      </x:c>
      <x:c r="H47" s="26" t="str">
        <x:v>Premier League</x:v>
      </x:c>
      <x:c r="I47" s="26" t="str">
        <x:v>Bournemouth</x:v>
      </x:c>
      <x:c r="J47" s="28" t="n">
        <x:v>20</x:v>
      </x:c>
      <x:c r="K47" s="28" t="n">
        <x:v>10</x:v>
      </x:c>
      <x:c r="L47" s="28" t="n">
        <x:v>952</x:v>
      </x:c>
      <x:c r="M47" s="28" t="n">
        <x:v>2</x:v>
      </x:c>
      <x:c r="N47" s="28" t="n">
        <x:v>0</x:v>
      </x:c>
      <x:c r="O47" s="28" t="n">
        <x:f>IF(COUNT(M47:N47)&lt;2,"",SUM(M47:N47))</x:f>
        <x:v>2</x:v>
      </x:c>
      <x:c r="P47" s="32" t="n">
        <x:f>IF(OR(COUNT(L47)=0,L47=0,COUNT(O47)=0),"",O47*90/L47)</x:f>
        <x:v>0.18907563025210083</x:v>
      </x:c>
      <x:c r="Q47" s="26" t="str">
        <x:f>IF(COUNT(J47:N47)=5,"Full","Partial")</x:f>
        <x:v>Full</x:v>
      </x:c>
      <x:c r="R47" s="26" t="str">
        <x:v>https://www.transfermarkt.us/netherlands/kader/verein/3379</x:v>
      </x:c>
      <x:c r="S47" s="26" t="str">
        <x:v>FBref</x:v>
      </x:c>
      <x:c r="T47" s="26" t="str">
        <x:v>https://fbref.com/en/search/search.fcgi?search=Justin+Kluivert</x:v>
      </x:c>
      <x:c r="U47" s="26"/>
    </x:row>
    <x:row r="48">
      <x:c r="A48" s="26" t="str">
        <x:v>Netherlands</x:v>
      </x:c>
      <x:c r="B48" s="26" t="str">
        <x:v>Guus Til</x:v>
      </x:c>
      <x:c r="C48" s="26" t="str">
        <x:v>Attacking Midfield</x:v>
      </x:c>
      <x:c r="D48" s="26" t="str">
        <x:v>MF</x:v>
      </x:c>
      <x:c r="E48" s="28" t="n">
        <x:v>28</x:v>
      </x:c>
      <x:c r="F48" s="30" t="n">
        <x:v>15</x:v>
      </x:c>
      <x:c r="G48" s="26" t="str">
        <x:v>2025/26</x:v>
      </x:c>
      <x:c r="H48" s="26" t="str">
        <x:v>Eredivisie</x:v>
      </x:c>
      <x:c r="I48" s="26" t="str">
        <x:v>PSV</x:v>
      </x:c>
      <x:c r="J48" s="28" t="n">
        <x:v>29</x:v>
      </x:c>
      <x:c r="K48" s="28" t="n">
        <x:v>25</x:v>
      </x:c>
      <x:c r="L48" s="28" t="n">
        <x:v>2249</x:v>
      </x:c>
      <x:c r="M48" s="28" t="n">
        <x:v>14</x:v>
      </x:c>
      <x:c r="N48" s="28" t="n">
        <x:v>4</x:v>
      </x:c>
      <x:c r="O48" s="28" t="n">
        <x:f>IF(COUNT(M48:N48)&lt;2,"",SUM(M48:N48))</x:f>
        <x:v>18</x:v>
      </x:c>
      <x:c r="P48" s="32" t="n">
        <x:f>IF(OR(COUNT(L48)=0,L48=0,COUNT(O48)=0),"",O48*90/L48)</x:f>
        <x:v>0.7203201422854602</x:v>
      </x:c>
      <x:c r="Q48" s="26" t="str">
        <x:f>IF(COUNT(J48:N48)=5,"Full","Partial")</x:f>
        <x:v>Full</x:v>
      </x:c>
      <x:c r="R48" s="26" t="str">
        <x:v>https://www.transfermarkt.us/netherlands/kader/verein/3379</x:v>
      </x:c>
      <x:c r="S48" s="26" t="str">
        <x:v>Transfermarkt</x:v>
      </x:c>
      <x:c r="T48" s="26" t="str">
        <x:v>https://www.transfermarkt.com/schnellsuche/ergebnis/schnellsuche?query=Guus+Til</x:v>
      </x:c>
      <x:c r="U48" s="26"/>
    </x:row>
    <x:row r="49">
      <x:c r="A49" s="26" t="str">
        <x:v>Netherlands</x:v>
      </x:c>
      <x:c r="B49" s="26" t="str">
        <x:v>Cody Gakpo</x:v>
      </x:c>
      <x:c r="C49" s="26" t="str">
        <x:v>Left Winger</x:v>
      </x:c>
      <x:c r="D49" s="26" t="str">
        <x:v>FW</x:v>
      </x:c>
      <x:c r="E49" s="28" t="n">
        <x:v>27</x:v>
      </x:c>
      <x:c r="F49" s="30" t="n">
        <x:v>60</x:v>
      </x:c>
      <x:c r="G49" s="26" t="str">
        <x:v>2025/26</x:v>
      </x:c>
      <x:c r="H49" s="26" t="str">
        <x:v>Premier League</x:v>
      </x:c>
      <x:c r="I49" s="26" t="str">
        <x:v>Liverpool</x:v>
      </x:c>
      <x:c r="J49" s="28" t="n">
        <x:v>36</x:v>
      </x:c>
      <x:c r="K49" s="28" t="n">
        <x:v>32</x:v>
      </x:c>
      <x:c r="L49" s="28" t="n">
        <x:v>2749</x:v>
      </x:c>
      <x:c r="M49" s="28" t="n">
        <x:v>7</x:v>
      </x:c>
      <x:c r="N49" s="28" t="n">
        <x:v>5</x:v>
      </x:c>
      <x:c r="O49" s="28" t="n">
        <x:f>IF(COUNT(M49:N49)&lt;2,"",SUM(M49:N49))</x:f>
        <x:v>12</x:v>
      </x:c>
      <x:c r="P49" s="32" t="n">
        <x:f>IF(OR(COUNT(L49)=0,L49=0,COUNT(O49)=0),"",O49*90/L49)</x:f>
        <x:v>0.39287013459439796</x:v>
      </x:c>
      <x:c r="Q49" s="26" t="str">
        <x:f>IF(COUNT(J49:N49)=5,"Full","Partial")</x:f>
        <x:v>Full</x:v>
      </x:c>
      <x:c r="R49" s="26" t="str">
        <x:v>https://www.transfermarkt.us/netherlands/kader/verein/3379</x:v>
      </x:c>
      <x:c r="S49" s="26" t="str">
        <x:v>FBref</x:v>
      </x:c>
      <x:c r="T49" s="26" t="str">
        <x:v>https://fbref.com/en/search/search.fcgi?search=Cody+Gakpo</x:v>
      </x:c>
      <x:c r="U49" s="26"/>
    </x:row>
    <x:row r="50">
      <x:c r="A50" s="26" t="str">
        <x:v>Netherlands</x:v>
      </x:c>
      <x:c r="B50" s="26" t="str">
        <x:v>Crysencio Summerville</x:v>
      </x:c>
      <x:c r="C50" s="26" t="str">
        <x:v>Left Winger</x:v>
      </x:c>
      <x:c r="D50" s="26" t="str">
        <x:v>FW</x:v>
      </x:c>
      <x:c r="E50" s="28" t="n">
        <x:v>24</x:v>
      </x:c>
      <x:c r="F50" s="30" t="n">
        <x:v>35</x:v>
      </x:c>
      <x:c r="G50" s="26" t="str">
        <x:v>2025/26</x:v>
      </x:c>
      <x:c r="H50" s="26" t="str">
        <x:v>Premier League</x:v>
      </x:c>
      <x:c r="I50" s="26" t="str">
        <x:v>West Ham</x:v>
      </x:c>
      <x:c r="J50" s="28" t="n">
        <x:v>31</x:v>
      </x:c>
      <x:c r="K50" s="28" t="n">
        <x:v>29</x:v>
      </x:c>
      <x:c r="L50" s="28" t="n">
        <x:v>2483</x:v>
      </x:c>
      <x:c r="M50" s="28" t="n">
        <x:v>5</x:v>
      </x:c>
      <x:c r="N50" s="28" t="n">
        <x:v>2</x:v>
      </x:c>
      <x:c r="O50" s="28" t="n">
        <x:f>IF(COUNT(M50:N50)&lt;2,"",SUM(M50:N50))</x:f>
        <x:v>7</x:v>
      </x:c>
      <x:c r="P50" s="32" t="n">
        <x:f>IF(OR(COUNT(L50)=0,L50=0,COUNT(O50)=0),"",O50*90/L50)</x:f>
        <x:v>0.25372533225936367</x:v>
      </x:c>
      <x:c r="Q50" s="26" t="str">
        <x:f>IF(COUNT(J50:N50)=5,"Full","Partial")</x:f>
        <x:v>Full</x:v>
      </x:c>
      <x:c r="R50" s="26" t="str">
        <x:v>https://www.transfermarkt.us/netherlands/kader/verein/3379</x:v>
      </x:c>
      <x:c r="S50" s="26" t="str">
        <x:v>FBref</x:v>
      </x:c>
      <x:c r="T50" s="26" t="str">
        <x:v>https://fbref.com/en/search/search.fcgi?search=Crysencio+Summerville</x:v>
      </x:c>
      <x:c r="U50" s="26"/>
    </x:row>
    <x:row r="51">
      <x:c r="A51" s="26" t="str">
        <x:v>Netherlands</x:v>
      </x:c>
      <x:c r="B51" s="26" t="str">
        <x:v>Noa Lang</x:v>
      </x:c>
      <x:c r="C51" s="26" t="str">
        <x:v>Left Winger</x:v>
      </x:c>
      <x:c r="D51" s="26" t="str">
        <x:v>FW</x:v>
      </x:c>
      <x:c r="E51" s="28" t="n">
        <x:v>27</x:v>
      </x:c>
      <x:c r="F51" s="30" t="n">
        <x:v>22</x:v>
      </x:c>
      <x:c r="G51" s="26" t="str">
        <x:v>2025/26</x:v>
      </x:c>
      <x:c r="H51" s="26" t="str">
        <x:v>Serie A + Süper Lig</x:v>
      </x:c>
      <x:c r="I51" s="26" t="str">
        <x:v>Napoli + Galatasaray</x:v>
      </x:c>
      <x:c r="J51" s="28" t="n">
        <x:v>31</x:v>
      </x:c>
      <x:c r="K51" s="28" t="n">
        <x:v>14</x:v>
      </x:c>
      <x:c r="L51" s="28" t="n">
        <x:v>1364</x:v>
      </x:c>
      <x:c r="M51" s="28" t="n">
        <x:v>1</x:v>
      </x:c>
      <x:c r="N51" s="28" t="n">
        <x:v>5</x:v>
      </x:c>
      <x:c r="O51" s="28" t="n">
        <x:f>IF(COUNT(M51:N51)&lt;2,"",SUM(M51:N51))</x:f>
        <x:v>6</x:v>
      </x:c>
      <x:c r="P51" s="32" t="n">
        <x:f>IF(OR(COUNT(L51)=0,L51=0,COUNT(O51)=0),"",O51*90/L51)</x:f>
        <x:v>0.39589442815249265</x:v>
      </x:c>
      <x:c r="Q51" s="26" t="str">
        <x:f>IF(COUNT(J51:N51)=5,"Full","Partial")</x:f>
        <x:v>Full</x:v>
      </x:c>
      <x:c r="R51" s="26" t="str">
        <x:v>https://www.transfermarkt.us/netherlands/kader/verein/3379</x:v>
      </x:c>
      <x:c r="S51" s="26" t="str">
        <x:v>Opta Analyst</x:v>
      </x:c>
      <x:c r="T51" s="26" t="str">
        <x:v>https://theanalyst.com/players/6496/noa-lang/career</x:v>
      </x:c>
      <x:c r="U51" s="26" t="str">
        <x:v>Season aggregate: Napoli 18 apps + Galatasaray 13 apps.</x:v>
      </x:c>
    </x:row>
    <x:row r="52">
      <x:c r="A52" s="26" t="str">
        <x:v>Netherlands</x:v>
      </x:c>
      <x:c r="B52" s="26" t="str">
        <x:v>Donyell Malen</x:v>
      </x:c>
      <x:c r="C52" s="26" t="str">
        <x:v>Centre-Forward</x:v>
      </x:c>
      <x:c r="D52" s="26" t="str">
        <x:v>FW</x:v>
      </x:c>
      <x:c r="E52" s="28" t="n">
        <x:v>27</x:v>
      </x:c>
      <x:c r="F52" s="30" t="n">
        <x:v>45</x:v>
      </x:c>
      <x:c r="G52" s="26" t="str">
        <x:v>2025/26</x:v>
      </x:c>
      <x:c r="H52" s="26" t="str">
        <x:v>Premier League + Serie A</x:v>
      </x:c>
      <x:c r="I52" s="26" t="str">
        <x:v>Aston Villa + Roma</x:v>
      </x:c>
      <x:c r="J52" s="28" t="n">
        <x:v>39</x:v>
      </x:c>
      <x:c r="K52" s="28" t="n">
        <x:v>23</x:v>
      </x:c>
      <x:c r="L52" s="28" t="n">
        <x:v>2122</x:v>
      </x:c>
      <x:c r="M52" s="28" t="n">
        <x:v>18</x:v>
      </x:c>
      <x:c r="N52" s="28" t="n">
        <x:v>3</x:v>
      </x:c>
      <x:c r="O52" s="28" t="n">
        <x:f>IF(COUNT(M52:N52)&lt;2,"",SUM(M52:N52))</x:f>
        <x:v>21</x:v>
      </x:c>
      <x:c r="P52" s="32" t="n">
        <x:f>IF(OR(COUNT(L52)=0,L52=0,COUNT(O52)=0),"",O52*90/L52)</x:f>
        <x:v>0.8906691800188501</x:v>
      </x:c>
      <x:c r="Q52" s="26" t="str">
        <x:f>IF(COUNT(J52:N52)=5,"Full","Partial")</x:f>
        <x:v>Full</x:v>
      </x:c>
      <x:c r="R52" s="26" t="str">
        <x:v>https://www.transfermarkt.us/netherlands/kader/verein/3379</x:v>
      </x:c>
      <x:c r="S52" s="26" t="str">
        <x:v>Transfermarkt</x:v>
      </x:c>
      <x:c r="T52" s="26" t="str">
        <x:v>https://www.transfermarkt.com/schnellsuche/ergebnis/schnellsuche?query=Donyell+Malen</x:v>
      </x:c>
      <x:c r="U52" s="26" t="str">
        <x:v>Season aggregate across Aston Villa and Roma.</x:v>
      </x:c>
    </x:row>
    <x:row r="53">
      <x:c r="A53" s="26" t="str">
        <x:v>Netherlands</x:v>
      </x:c>
      <x:c r="B53" s="26" t="str">
        <x:v>Brian Brobbey</x:v>
      </x:c>
      <x:c r="C53" s="26" t="str">
        <x:v>Centre-Forward</x:v>
      </x:c>
      <x:c r="D53" s="26" t="str">
        <x:v>FW</x:v>
      </x:c>
      <x:c r="E53" s="28" t="n">
        <x:v>24</x:v>
      </x:c>
      <x:c r="F53" s="30" t="n">
        <x:v>30</x:v>
      </x:c>
      <x:c r="G53" s="26" t="str">
        <x:v>2025/26</x:v>
      </x:c>
      <x:c r="H53" s="26" t="str">
        <x:v>Premier League</x:v>
      </x:c>
      <x:c r="I53" s="26" t="str">
        <x:v>Sunderland</x:v>
      </x:c>
      <x:c r="J53" s="28" t="n">
        <x:v>31</x:v>
      </x:c>
      <x:c r="K53" s="28" t="n">
        <x:v>22</x:v>
      </x:c>
      <x:c r="L53" s="28" t="n">
        <x:v>1933</x:v>
      </x:c>
      <x:c r="M53" s="28" t="n">
        <x:v>7</x:v>
      </x:c>
      <x:c r="N53" s="28" t="n">
        <x:v>1</x:v>
      </x:c>
      <x:c r="O53" s="28" t="n">
        <x:f>IF(COUNT(M53:N53)&lt;2,"",SUM(M53:N53))</x:f>
        <x:v>8</x:v>
      </x:c>
      <x:c r="P53" s="32" t="n">
        <x:f>IF(OR(COUNT(L53)=0,L53=0,COUNT(O53)=0),"",O53*90/L53)</x:f>
        <x:v>0.37247801345059495</x:v>
      </x:c>
      <x:c r="Q53" s="26" t="str">
        <x:f>IF(COUNT(J53:N53)=5,"Full","Partial")</x:f>
        <x:v>Full</x:v>
      </x:c>
      <x:c r="R53" s="26" t="str">
        <x:v>https://www.transfermarkt.us/netherlands/kader/verein/3379</x:v>
      </x:c>
      <x:c r="S53" s="26" t="str">
        <x:v>FBref</x:v>
      </x:c>
      <x:c r="T53" s="26" t="str">
        <x:v>https://fbref.com/en/search/search.fcgi?search=Brian+Brobbey</x:v>
      </x:c>
      <x:c r="U53" s="26"/>
    </x:row>
    <x:row r="54">
      <x:c r="A54" s="26" t="str">
        <x:v>Netherlands</x:v>
      </x:c>
      <x:c r="B54" s="26" t="str">
        <x:v>Memphis Depay</x:v>
      </x:c>
      <x:c r="C54" s="26" t="str">
        <x:v>Centre-Forward</x:v>
      </x:c>
      <x:c r="D54" s="26" t="str">
        <x:v>FW</x:v>
      </x:c>
      <x:c r="E54" s="28" t="n">
        <x:v>32</x:v>
      </x:c>
      <x:c r="F54" s="30" t="n">
        <x:v>7</x:v>
      </x:c>
      <x:c r="G54" s="26" t="str">
        <x:v>2025</x:v>
      </x:c>
      <x:c r="H54" s="26" t="str">
        <x:v>Brazil Série A</x:v>
      </x:c>
      <x:c r="I54" s="26" t="str">
        <x:v>Corinthians</x:v>
      </x:c>
      <x:c r="J54" s="28" t="n">
        <x:v>23</x:v>
      </x:c>
      <x:c r="K54" s="28" t="n">
        <x:v>17</x:v>
      </x:c>
      <x:c r="L54" s="28" t="n">
        <x:v>1544</x:v>
      </x:c>
      <x:c r="M54" s="28" t="n">
        <x:v>6</x:v>
      </x:c>
      <x:c r="N54" s="28" t="n">
        <x:v>3</x:v>
      </x:c>
      <x:c r="O54" s="28" t="n">
        <x:f>IF(COUNT(M54:N54)&lt;2,"",SUM(M54:N54))</x:f>
        <x:v>9</x:v>
      </x:c>
      <x:c r="P54" s="32" t="n">
        <x:f>IF(OR(COUNT(L54)=0,L54=0,COUNT(O54)=0),"",O54*90/L54)</x:f>
        <x:v>0.5246113989637305</x:v>
      </x:c>
      <x:c r="Q54" s="26" t="str">
        <x:f>IF(COUNT(J54:N54)=5,"Full","Partial")</x:f>
        <x:v>Full</x:v>
      </x:c>
      <x:c r="R54" s="26" t="str">
        <x:v>https://www.transfermarkt.us/netherlands/kader/verein/3379</x:v>
      </x:c>
      <x:c r="S54" s="26" t="str">
        <x:v>FBref</x:v>
      </x:c>
      <x:c r="T54" s="26" t="str">
        <x:v>https://fbref.com/en/players/8f696594/Memphis-Depay</x:v>
      </x:c>
      <x:c r="U54" s="26" t="str">
        <x:v>Calendar-year league; 2025 used as latest completed Série A season.</x:v>
      </x:c>
    </x:row>
    <x:row r="55">
      <x:c r="A55" s="26" t="str">
        <x:v>Netherlands</x:v>
      </x:c>
      <x:c r="B55" s="26" t="str">
        <x:v>Wout Weghorst</x:v>
      </x:c>
      <x:c r="C55" s="26" t="str">
        <x:v>Centre-Forward</x:v>
      </x:c>
      <x:c r="D55" s="26" t="str">
        <x:v>FW</x:v>
      </x:c>
      <x:c r="E55" s="28" t="n">
        <x:v>33</x:v>
      </x:c>
      <x:c r="F55" s="30" t="n">
        <x:v>2</x:v>
      </x:c>
      <x:c r="G55" s="26" t="str">
        <x:v>2025/26</x:v>
      </x:c>
      <x:c r="H55" s="26" t="str">
        <x:v>Eredivisie</x:v>
      </x:c>
      <x:c r="I55" s="26" t="str">
        <x:v>Ajax</x:v>
      </x:c>
      <x:c r="J55" s="28" t="n">
        <x:v>27</x:v>
      </x:c>
      <x:c r="K55" s="28" t="n">
        <x:v>20</x:v>
      </x:c>
      <x:c r="L55" s="28" t="n">
        <x:v>1784</x:v>
      </x:c>
      <x:c r="M55" s="28" t="n">
        <x:v>8</x:v>
      </x:c>
      <x:c r="N55" s="28" t="n">
        <x:v>4</x:v>
      </x:c>
      <x:c r="O55" s="28" t="n">
        <x:f>IF(COUNT(M55:N55)&lt;2,"",SUM(M55:N55))</x:f>
        <x:v>12</x:v>
      </x:c>
      <x:c r="P55" s="32" t="n">
        <x:f>IF(OR(COUNT(L55)=0,L55=0,COUNT(O55)=0),"",O55*90/L55)</x:f>
        <x:v>0.6053811659192825</x:v>
      </x:c>
      <x:c r="Q55" s="26" t="str">
        <x:f>IF(COUNT(J55:N55)=5,"Full","Partial")</x:f>
        <x:v>Full</x:v>
      </x:c>
      <x:c r="R55" s="26" t="str">
        <x:v>https://www.transfermarkt.us/netherlands/kader/verein/3379</x:v>
      </x:c>
      <x:c r="S55" s="26" t="str">
        <x:v>FBref</x:v>
      </x:c>
      <x:c r="T55" s="26" t="str">
        <x:v>https://fbref.com/en/players/c4e87b8b/goallogs/all_comps</x:v>
      </x:c>
      <x:c r="U55" s="26"/>
    </x:row>
    <x:row r="56">
      <x:c r="A56" s="26" t="str">
        <x:v>Tunisia</x:v>
      </x:c>
      <x:c r="B56" s="26" t="str">
        <x:v>Abdelmouhib Chamakh</x:v>
      </x:c>
      <x:c r="C56" s="26" t="str">
        <x:v>Goalkeeper</x:v>
      </x:c>
      <x:c r="D56" s="26" t="str">
        <x:v>GK</x:v>
      </x:c>
      <x:c r="E56" s="28" t="n">
        <x:v>24</x:v>
      </x:c>
      <x:c r="F56" s="30" t="n">
        <x:v>0.8</x:v>
      </x:c>
      <x:c r="G56" s="26" t="str">
        <x:v>2025/26</x:v>
      </x:c>
      <x:c r="H56" s="26" t="str">
        <x:v>Tunisian Ligue 1</x:v>
      </x:c>
      <x:c r="I56" s="26" t="str">
        <x:v>Club Africain</x:v>
      </x:c>
      <x:c r="J56" s="28" t="n">
        <x:v>23</x:v>
      </x:c>
      <x:c r="K56" s="28" t="n">
        <x:v>22</x:v>
      </x:c>
      <x:c r="L56" s="28" t="n">
        <x:v>2043</x:v>
      </x:c>
      <x:c r="M56" s="28" t="n">
        <x:v>0</x:v>
      </x:c>
      <x:c r="N56" s="28" t="n">
        <x:v>0</x:v>
      </x:c>
      <x:c r="O56" s="28" t="n">
        <x:f>IF(COUNT(M56:N56)&lt;2,"",SUM(M56:N56))</x:f>
        <x:v>0</x:v>
      </x:c>
      <x:c r="P56" s="32" t="n">
        <x:f>IF(OR(COUNT(L56)=0,L56=0,COUNT(O56)=0),"",O56*90/L56)</x:f>
        <x:v>0</x:v>
      </x:c>
      <x:c r="Q56" s="26" t="str">
        <x:f>IF(COUNT(J56:N56)=5,"Full","Partial")</x:f>
        <x:v>Full</x:v>
      </x:c>
      <x:c r="R56" s="26" t="str">
        <x:v>https://www.transfermarkt.us/tunisia/kader/verein/3670/saison_id/2026</x:v>
      </x:c>
      <x:c r="S56" s="26" t="str">
        <x:v>Transfermarkt</x:v>
      </x:c>
      <x:c r="T56" s="26" t="str">
        <x:v>https://www.transfermarkt.com/schnellsuche/ergebnis/schnellsuche?query=Abdelmouhib+Chamakh</x:v>
      </x:c>
      <x:c r="U56" s="26"/>
    </x:row>
    <x:row r="57">
      <x:c r="A57" s="26" t="str">
        <x:v>Tunisia</x:v>
      </x:c>
      <x:c r="B57" s="26" t="str">
        <x:v>Aymen Dahmen</x:v>
      </x:c>
      <x:c r="C57" s="26" t="str">
        <x:v>Goalkeeper</x:v>
      </x:c>
      <x:c r="D57" s="26" t="str">
        <x:v>GK</x:v>
      </x:c>
      <x:c r="E57" s="28" t="n">
        <x:v>29</x:v>
      </x:c>
      <x:c r="F57" s="30" t="n">
        <x:v>0.8</x:v>
      </x:c>
      <x:c r="G57" s="26" t="str">
        <x:v>2025/26</x:v>
      </x:c>
      <x:c r="H57" s="26" t="str">
        <x:v>Tunisian Ligue 1</x:v>
      </x:c>
      <x:c r="I57" s="26" t="str">
        <x:v>CS Sfaxien</x:v>
      </x:c>
      <x:c r="J57" s="28" t="n">
        <x:v>26</x:v>
      </x:c>
      <x:c r="K57" s="28" t="n">
        <x:v>26</x:v>
      </x:c>
      <x:c r="L57" s="28" t="n">
        <x:v>2340</x:v>
      </x:c>
      <x:c r="M57" s="28" t="n">
        <x:v>0</x:v>
      </x:c>
      <x:c r="N57" s="28" t="n">
        <x:v>0</x:v>
      </x:c>
      <x:c r="O57" s="28" t="n">
        <x:f>IF(COUNT(M57:N57)&lt;2,"",SUM(M57:N57))</x:f>
        <x:v>0</x:v>
      </x:c>
      <x:c r="P57" s="32" t="n">
        <x:f>IF(OR(COUNT(L57)=0,L57=0,COUNT(O57)=0),"",O57*90/L57)</x:f>
        <x:v>0</x:v>
      </x:c>
      <x:c r="Q57" s="26" t="str">
        <x:f>IF(COUNT(J57:N57)=5,"Full","Partial")</x:f>
        <x:v>Full</x:v>
      </x:c>
      <x:c r="R57" s="26" t="str">
        <x:v>https://www.transfermarkt.us/tunisia/kader/verein/3670/saison_id/2026</x:v>
      </x:c>
      <x:c r="S57" s="26" t="str">
        <x:v>Transfermarkt</x:v>
      </x:c>
      <x:c r="T57" s="26" t="str">
        <x:v>https://www.transfermarkt.com/schnellsuche/ergebnis/schnellsuche?query=Aymen+Dahmen</x:v>
      </x:c>
      <x:c r="U57" s="26"/>
    </x:row>
    <x:row r="58">
      <x:c r="A58" s="26" t="str">
        <x:v>Tunisia</x:v>
      </x:c>
      <x:c r="B58" s="26" t="str">
        <x:v>Sabri Ben Hessen</x:v>
      </x:c>
      <x:c r="C58" s="26" t="str">
        <x:v>Goalkeeper</x:v>
      </x:c>
      <x:c r="D58" s="26" t="str">
        <x:v>GK</x:v>
      </x:c>
      <x:c r="E58" s="28" t="n">
        <x:v>30</x:v>
      </x:c>
      <x:c r="F58" s="30" t="n">
        <x:v>0.55</x:v>
      </x:c>
      <x:c r="G58" s="26" t="str">
        <x:v>2025/26</x:v>
      </x:c>
      <x:c r="H58" s="26" t="str">
        <x:v>Tunisian Ligue 1</x:v>
      </x:c>
      <x:c r="I58" s="26" t="str">
        <x:v>Étoile du Sahel</x:v>
      </x:c>
      <x:c r="J58" s="28" t="n">
        <x:v>28</x:v>
      </x:c>
      <x:c r="K58" s="28" t="n">
        <x:v>28</x:v>
      </x:c>
      <x:c r="L58" s="28" t="n">
        <x:v>2505</x:v>
      </x:c>
      <x:c r="M58" s="28" t="n">
        <x:v>0</x:v>
      </x:c>
      <x:c r="N58" s="28" t="n">
        <x:v>0</x:v>
      </x:c>
      <x:c r="O58" s="28" t="n">
        <x:f>IF(COUNT(M58:N58)&lt;2,"",SUM(M58:N58))</x:f>
        <x:v>0</x:v>
      </x:c>
      <x:c r="P58" s="32" t="n">
        <x:f>IF(OR(COUNT(L58)=0,L58=0,COUNT(O58)=0),"",O58*90/L58)</x:f>
        <x:v>0</x:v>
      </x:c>
      <x:c r="Q58" s="26" t="str">
        <x:f>IF(COUNT(J58:N58)=5,"Full","Partial")</x:f>
        <x:v>Full</x:v>
      </x:c>
      <x:c r="R58" s="26" t="str">
        <x:v>https://www.transfermarkt.us/tunisia/kader/verein/3670/saison_id/2026</x:v>
      </x:c>
      <x:c r="S58" s="26" t="str">
        <x:v>Opta Analyst</x:v>
      </x:c>
      <x:c r="T58" s="26" t="str">
        <x:v>https://theanalyst.com/players/7628/sabri-ben-hessen/career</x:v>
      </x:c>
      <x:c r="U58" s="26"/>
    </x:row>
    <x:row r="59">
      <x:c r="A59" s="26" t="str">
        <x:v>Tunisia</x:v>
      </x:c>
      <x:c r="B59" s="26" t="str">
        <x:v>Montassar Talbi</x:v>
      </x:c>
      <x:c r="C59" s="26" t="str">
        <x:v>Centre-Back</x:v>
      </x:c>
      <x:c r="D59" s="26" t="str">
        <x:v>DF</x:v>
      </x:c>
      <x:c r="E59" s="28" t="n">
        <x:v>28</x:v>
      </x:c>
      <x:c r="F59" s="30" t="n">
        <x:v>8</x:v>
      </x:c>
      <x:c r="G59" s="26" t="str">
        <x:v>2025/26</x:v>
      </x:c>
      <x:c r="H59" s="26" t="str">
        <x:v>Ligue 1</x:v>
      </x:c>
      <x:c r="I59" s="26" t="str">
        <x:v>Lorient</x:v>
      </x:c>
      <x:c r="J59" s="28" t="n">
        <x:v>29</x:v>
      </x:c>
      <x:c r="K59" s="28" t="n">
        <x:v>29</x:v>
      </x:c>
      <x:c r="L59" s="28" t="n">
        <x:v>2610</x:v>
      </x:c>
      <x:c r="M59" s="28" t="n">
        <x:v>0</x:v>
      </x:c>
      <x:c r="N59" s="28" t="n">
        <x:v>1</x:v>
      </x:c>
      <x:c r="O59" s="28" t="n">
        <x:f>IF(COUNT(M59:N59)&lt;2,"",SUM(M59:N59))</x:f>
        <x:v>1</x:v>
      </x:c>
      <x:c r="P59" s="32" t="n">
        <x:f>IF(OR(COUNT(L59)=0,L59=0,COUNT(O59)=0),"",O59*90/L59)</x:f>
        <x:v>0.034482758620689655</x:v>
      </x:c>
      <x:c r="Q59" s="26" t="str">
        <x:f>IF(COUNT(J59:N59)=5,"Full","Partial")</x:f>
        <x:v>Full</x:v>
      </x:c>
      <x:c r="R59" s="26" t="str">
        <x:v>https://www.transfermarkt.us/tunisia/kader/verein/3670/saison_id/2026</x:v>
      </x:c>
      <x:c r="S59" s="26" t="str">
        <x:v>FBref</x:v>
      </x:c>
      <x:c r="T59" s="26" t="str">
        <x:v>https://fbref.com/en/search/search.fcgi?search=Montassar+Talbi</x:v>
      </x:c>
      <x:c r="U59" s="26"/>
    </x:row>
    <x:row r="60">
      <x:c r="A60" s="26" t="str">
        <x:v>Tunisia</x:v>
      </x:c>
      <x:c r="B60" s="26" t="str">
        <x:v>Adem Arous</x:v>
      </x:c>
      <x:c r="C60" s="26" t="str">
        <x:v>Centre-Back</x:v>
      </x:c>
      <x:c r="D60" s="26" t="str">
        <x:v>DF</x:v>
      </x:c>
      <x:c r="E60" s="28" t="n">
        <x:v>21</x:v>
      </x:c>
      <x:c r="F60" s="30" t="n">
        <x:v>4</x:v>
      </x:c>
      <x:c r="G60" s="26" t="str">
        <x:v>2025/26</x:v>
      </x:c>
      <x:c r="H60" s="26" t="str">
        <x:v>Tunisian Ligue 1 + Süper Lig</x:v>
      </x:c>
      <x:c r="I60" s="26" t="str">
        <x:v>Stade Tunisien + Kasımpaşa</x:v>
      </x:c>
      <x:c r="J60" s="28" t="n">
        <x:v>25</x:v>
      </x:c>
      <x:c r="K60" s="28" t="n">
        <x:v>23</x:v>
      </x:c>
      <x:c r="L60" s="28" t="n">
        <x:v>1997</x:v>
      </x:c>
      <x:c r="M60" s="28" t="n">
        <x:v>2</x:v>
      </x:c>
      <x:c r="N60" s="28" t="n">
        <x:v>0</x:v>
      </x:c>
      <x:c r="O60" s="28" t="n">
        <x:f>IF(COUNT(M60:N60)&lt;2,"",SUM(M60:N60))</x:f>
        <x:v>2</x:v>
      </x:c>
      <x:c r="P60" s="32" t="n">
        <x:f>IF(OR(COUNT(L60)=0,L60=0,COUNT(O60)=0),"",O60*90/L60)</x:f>
        <x:v>0.09013520280420631</x:v>
      </x:c>
      <x:c r="Q60" s="26" t="str">
        <x:f>IF(COUNT(J60:N60)=5,"Full","Partial")</x:f>
        <x:v>Full</x:v>
      </x:c>
      <x:c r="R60" s="26" t="str">
        <x:v>https://www.transfermarkt.us/tunisia/kader/verein/3670/saison_id/2026</x:v>
      </x:c>
      <x:c r="S60" s="26" t="str">
        <x:v>Transfermarkt</x:v>
      </x:c>
      <x:c r="T60" s="26" t="str">
        <x:v>https://www.transfermarkt.com/schnellsuche/ergebnis/schnellsuche?query=Adem+Arous</x:v>
      </x:c>
      <x:c r="U60" s="26" t="str">
        <x:v>Season aggregate across Stade Tunisien and Kasımpaşa.</x:v>
      </x:c>
    </x:row>
    <x:row r="61">
      <x:c r="A61" s="26" t="str">
        <x:v>Tunisia</x:v>
      </x:c>
      <x:c r="B61" s="26" t="str">
        <x:v>Dylan Bronn</x:v>
      </x:c>
      <x:c r="C61" s="26" t="str">
        <x:v>Centre-Back</x:v>
      </x:c>
      <x:c r="D61" s="26" t="str">
        <x:v>DF</x:v>
      </x:c>
      <x:c r="E61" s="28" t="n">
        <x:v>31</x:v>
      </x:c>
      <x:c r="F61" s="30" t="n">
        <x:v>0.6</x:v>
      </x:c>
      <x:c r="G61" s="26" t="str">
        <x:v>2025/26</x:v>
      </x:c>
      <x:c r="H61" s="26" t="str">
        <x:v>Swiss Super League</x:v>
      </x:c>
      <x:c r="I61" s="26" t="str">
        <x:v>Servette</x:v>
      </x:c>
      <x:c r="J61" s="28" t="n">
        <x:v>14</x:v>
      </x:c>
      <x:c r="K61" s="28" t="n">
        <x:v>14</x:v>
      </x:c>
      <x:c r="L61" s="28" t="n">
        <x:v>1216</x:v>
      </x:c>
      <x:c r="M61" s="28" t="n">
        <x:v>0</x:v>
      </x:c>
      <x:c r="N61" s="28" t="n">
        <x:v>1</x:v>
      </x:c>
      <x:c r="O61" s="28" t="n">
        <x:f>IF(COUNT(M61:N61)&lt;2,"",SUM(M61:N61))</x:f>
        <x:v>1</x:v>
      </x:c>
      <x:c r="P61" s="32" t="n">
        <x:f>IF(OR(COUNT(L61)=0,L61=0,COUNT(O61)=0),"",O61*90/L61)</x:f>
        <x:v>0.07401315789473684</x:v>
      </x:c>
      <x:c r="Q61" s="26" t="str">
        <x:f>IF(COUNT(J61:N61)=5,"Full","Partial")</x:f>
        <x:v>Full</x:v>
      </x:c>
      <x:c r="R61" s="26" t="str">
        <x:v>https://www.transfermarkt.us/tunisia/kader/verein/3670/saison_id/2026</x:v>
      </x:c>
      <x:c r="S61" s="26" t="str">
        <x:v>Transfermarkt</x:v>
      </x:c>
      <x:c r="T61" s="26" t="str">
        <x:v>https://www.transfermarkt.com/schnellsuche/ergebnis/schnellsuche?query=Dylan+Bronn</x:v>
      </x:c>
      <x:c r="U61" s="26"/>
    </x:row>
    <x:row r="62">
      <x:c r="A62" s="26" t="str">
        <x:v>Tunisia</x:v>
      </x:c>
      <x:c r="B62" s="26" t="str">
        <x:v>Raed Chikhaoui</x:v>
      </x:c>
      <x:c r="C62" s="26" t="str">
        <x:v>Centre-Back</x:v>
      </x:c>
      <x:c r="D62" s="26" t="str">
        <x:v>DF</x:v>
      </x:c>
      <x:c r="E62" s="28" t="n">
        <x:v>22</x:v>
      </x:c>
      <x:c r="F62" s="30" t="n">
        <x:v>0.6</x:v>
      </x:c>
      <x:c r="G62" s="26" t="str">
        <x:v>2025/26</x:v>
      </x:c>
      <x:c r="H62" s="26" t="str">
        <x:v>Tunisian Ligue 1</x:v>
      </x:c>
      <x:c r="I62" s="26" t="str">
        <x:v>US Monastir</x:v>
      </x:c>
      <x:c r="J62" s="28" t="n">
        <x:v>28</x:v>
      </x:c>
      <x:c r="K62" s="28" t="n">
        <x:v>28</x:v>
      </x:c>
      <x:c r="L62" s="28" t="n">
        <x:v>2495</x:v>
      </x:c>
      <x:c r="M62" s="28" t="n">
        <x:v>3</x:v>
      </x:c>
      <x:c r="N62" s="28" t="n">
        <x:v>0</x:v>
      </x:c>
      <x:c r="O62" s="28" t="n">
        <x:f>IF(COUNT(M62:N62)&lt;2,"",SUM(M62:N62))</x:f>
        <x:v>3</x:v>
      </x:c>
      <x:c r="P62" s="32" t="n">
        <x:f>IF(OR(COUNT(L62)=0,L62=0,COUNT(O62)=0),"",O62*90/L62)</x:f>
        <x:v>0.10821643286573146</x:v>
      </x:c>
      <x:c r="Q62" s="26" t="str">
        <x:f>IF(COUNT(J62:N62)=5,"Full","Partial")</x:f>
        <x:v>Full</x:v>
      </x:c>
      <x:c r="R62" s="26" t="str">
        <x:v>https://www.transfermarkt.us/tunisia/kader/verein/3670/saison_id/2026</x:v>
      </x:c>
      <x:c r="S62" s="26" t="str">
        <x:v>Transfermarkt</x:v>
      </x:c>
      <x:c r="T62" s="26" t="str">
        <x:v>https://www.transfermarkt.com/schnellsuche/ergebnis/schnellsuche?query=Raed+Chikhaoui</x:v>
      </x:c>
      <x:c r="U62" s="26"/>
    </x:row>
    <x:row r="63">
      <x:c r="A63" s="26" t="str">
        <x:v>Tunisia</x:v>
      </x:c>
      <x:c r="B63" s="26" t="str">
        <x:v>Omar Rekik</x:v>
      </x:c>
      <x:c r="C63" s="26" t="str">
        <x:v>Centre-Back</x:v>
      </x:c>
      <x:c r="D63" s="26" t="str">
        <x:v>DF</x:v>
      </x:c>
      <x:c r="E63" s="28" t="n">
        <x:v>24</x:v>
      </x:c>
      <x:c r="F63" s="30" t="n">
        <x:v>0.5</x:v>
      </x:c>
      <x:c r="G63" s="26" t="str">
        <x:v>2025/26</x:v>
      </x:c>
      <x:c r="H63" s="26" t="str">
        <x:v>Slovenian PrvaLiga</x:v>
      </x:c>
      <x:c r="I63" s="26" t="str">
        <x:v>Maribor</x:v>
      </x:c>
      <x:c r="J63" s="28" t="n">
        <x:v>27</x:v>
      </x:c>
      <x:c r="K63" s="28" t="n">
        <x:v>23</x:v>
      </x:c>
      <x:c r="L63" s="28" t="n">
        <x:v>2129</x:v>
      </x:c>
      <x:c r="M63" s="28" t="n">
        <x:v>1</x:v>
      </x:c>
      <x:c r="N63" s="28" t="n">
        <x:v>0</x:v>
      </x:c>
      <x:c r="O63" s="28" t="n">
        <x:f>IF(COUNT(M63:N63)&lt;2,"",SUM(M63:N63))</x:f>
        <x:v>1</x:v>
      </x:c>
      <x:c r="P63" s="32" t="n">
        <x:f>IF(OR(COUNT(L63)=0,L63=0,COUNT(O63)=0),"",O63*90/L63)</x:f>
        <x:v>0.042273367778299674</x:v>
      </x:c>
      <x:c r="Q63" s="26" t="str">
        <x:f>IF(COUNT(J63:N63)=5,"Full","Partial")</x:f>
        <x:v>Full</x:v>
      </x:c>
      <x:c r="R63" s="26" t="str">
        <x:v>https://www.transfermarkt.us/tunisia/kader/verein/3670/saison_id/2026</x:v>
      </x:c>
      <x:c r="S63" s="26" t="str">
        <x:v>Transfermarkt</x:v>
      </x:c>
      <x:c r="T63" s="26" t="str">
        <x:v>https://www.transfermarkt.com/schnellsuche/ergebnis/schnellsuche?query=Omar+Rekik</x:v>
      </x:c>
      <x:c r="U63" s="26"/>
    </x:row>
    <x:row r="64">
      <x:c r="A64" s="26" t="str">
        <x:v>Tunisia</x:v>
      </x:c>
      <x:c r="B64" s="26" t="str">
        <x:v>Ali Abdi</x:v>
      </x:c>
      <x:c r="C64" s="26" t="str">
        <x:v>Left-Back</x:v>
      </x:c>
      <x:c r="D64" s="26" t="str">
        <x:v>DF</x:v>
      </x:c>
      <x:c r="E64" s="28" t="n">
        <x:v>32</x:v>
      </x:c>
      <x:c r="F64" s="30" t="n">
        <x:v>2</x:v>
      </x:c>
      <x:c r="G64" s="26" t="str">
        <x:v>2025/26</x:v>
      </x:c>
      <x:c r="H64" s="26" t="str">
        <x:v>Ligue 1</x:v>
      </x:c>
      <x:c r="I64" s="26" t="str">
        <x:v>Nice</x:v>
      </x:c>
      <x:c r="J64" s="28" t="n">
        <x:v>22</x:v>
      </x:c>
      <x:c r="K64" s="28" t="n">
        <x:v>13</x:v>
      </x:c>
      <x:c r="L64" s="28" t="n">
        <x:v>1167</x:v>
      </x:c>
      <x:c r="M64" s="28" t="n">
        <x:v>3</x:v>
      </x:c>
      <x:c r="N64" s="28" t="n">
        <x:v>0</x:v>
      </x:c>
      <x:c r="O64" s="28" t="n">
        <x:f>IF(COUNT(M64:N64)&lt;2,"",SUM(M64:N64))</x:f>
        <x:v>3</x:v>
      </x:c>
      <x:c r="P64" s="32" t="n">
        <x:f>IF(OR(COUNT(L64)=0,L64=0,COUNT(O64)=0),"",O64*90/L64)</x:f>
        <x:v>0.23136246786632392</x:v>
      </x:c>
      <x:c r="Q64" s="26" t="str">
        <x:f>IF(COUNT(J64:N64)=5,"Full","Partial")</x:f>
        <x:v>Full</x:v>
      </x:c>
      <x:c r="R64" s="26" t="str">
        <x:v>https://www.transfermarkt.us/tunisia/kader/verein/3670/saison_id/2026</x:v>
      </x:c>
      <x:c r="S64" s="26" t="str">
        <x:v>FBref</x:v>
      </x:c>
      <x:c r="T64" s="26" t="str">
        <x:v>https://fbref.com/en/search/search.fcgi?search=Ali+Abdi</x:v>
      </x:c>
      <x:c r="U64" s="26"/>
    </x:row>
    <x:row r="65">
      <x:c r="A65" s="26" t="str">
        <x:v>Tunisia</x:v>
      </x:c>
      <x:c r="B65" s="26" t="str">
        <x:v>Mohamed Amine Ben Hamida</x:v>
      </x:c>
      <x:c r="C65" s="26" t="str">
        <x:v>Left-Back</x:v>
      </x:c>
      <x:c r="D65" s="26" t="str">
        <x:v>DF</x:v>
      </x:c>
      <x:c r="E65" s="28" t="n">
        <x:v>30</x:v>
      </x:c>
      <x:c r="F65" s="30" t="n">
        <x:v>1</x:v>
      </x:c>
      <x:c r="G65" s="26" t="str">
        <x:v>2025/26</x:v>
      </x:c>
      <x:c r="H65" s="26" t="str">
        <x:v>Tunisian Ligue 1</x:v>
      </x:c>
      <x:c r="I65" s="26" t="str">
        <x:v>Espérance de Tunis</x:v>
      </x:c>
      <x:c r="J65" s="28" t="n">
        <x:v>23</x:v>
      </x:c>
      <x:c r="K65" s="28"/>
      <x:c r="L65" s="28" t="n">
        <x:v>1936</x:v>
      </x:c>
      <x:c r="M65" s="28" t="n">
        <x:v>1</x:v>
      </x:c>
      <x:c r="N65" s="28" t="n">
        <x:v>1</x:v>
      </x:c>
      <x:c r="O65" s="28" t="n">
        <x:f>IF(COUNT(M65:N65)&lt;2,"",SUM(M65:N65))</x:f>
        <x:v>2</x:v>
      </x:c>
      <x:c r="P65" s="32" t="n">
        <x:f>IF(OR(COUNT(L65)=0,L65=0,COUNT(O65)=0),"",O65*90/L65)</x:f>
        <x:v>0.09297520661157024</x:v>
      </x:c>
      <x:c r="Q65" s="26" t="str">
        <x:f>IF(COUNT(J65:N65)=5,"Full","Partial")</x:f>
        <x:v>Partial</x:v>
      </x:c>
      <x:c r="R65" s="26" t="str">
        <x:v>https://www.transfermarkt.us/tunisia/kader/verein/3670/saison_id/2026</x:v>
      </x:c>
      <x:c r="S65" s="26" t="str">
        <x:v>GioScore</x:v>
      </x:c>
      <x:c r="T65" s="26" t="str">
        <x:v>https://gioscore.com/football/player/mohamed-amine-ben-hamida/466999</x:v>
      </x:c>
      <x:c r="U65" s="26" t="str">
        <x:v>Some providers show 25 league appearances; minutes-based source used here.</x:v>
      </x:c>
    </x:row>
    <x:row r="66">
      <x:c r="A66" s="26" t="str">
        <x:v>Tunisia</x:v>
      </x:c>
      <x:c r="B66" s="26" t="str">
        <x:v>Yan Valery</x:v>
      </x:c>
      <x:c r="C66" s="26" t="str">
        <x:v>Right-Back</x:v>
      </x:c>
      <x:c r="D66" s="26" t="str">
        <x:v>DF</x:v>
      </x:c>
      <x:c r="E66" s="28" t="n">
        <x:v>27</x:v>
      </x:c>
      <x:c r="F66" s="30" t="n">
        <x:v>1.5</x:v>
      </x:c>
      <x:c r="G66" s="26" t="str">
        <x:v>2025/26</x:v>
      </x:c>
      <x:c r="H66" s="26" t="str">
        <x:v>Championship + Swiss Super League</x:v>
      </x:c>
      <x:c r="I66" s="26" t="str">
        <x:v>Sheffield Wednesday + Young Boys</x:v>
      </x:c>
      <x:c r="J66" s="28" t="n">
        <x:v>37</x:v>
      </x:c>
      <x:c r="K66" s="28" t="n">
        <x:v>34</x:v>
      </x:c>
      <x:c r="L66" s="28" t="n">
        <x:v>2993</x:v>
      </x:c>
      <x:c r="M66" s="28" t="n">
        <x:v>0</x:v>
      </x:c>
      <x:c r="N66" s="28" t="n">
        <x:v>4</x:v>
      </x:c>
      <x:c r="O66" s="28" t="n">
        <x:f>IF(COUNT(M66:N66)&lt;2,"",SUM(M66:N66))</x:f>
        <x:v>4</x:v>
      </x:c>
      <x:c r="P66" s="32" t="n">
        <x:f>IF(OR(COUNT(L66)=0,L66=0,COUNT(O66)=0),"",O66*90/L66)</x:f>
        <x:v>0.12028065486134314</x:v>
      </x:c>
      <x:c r="Q66" s="26" t="str">
        <x:f>IF(COUNT(J66:N66)=5,"Full","Partial")</x:f>
        <x:v>Full</x:v>
      </x:c>
      <x:c r="R66" s="26" t="str">
        <x:v>https://www.transfermarkt.us/tunisia/kader/verein/3670/saison_id/2026</x:v>
      </x:c>
      <x:c r="S66" s="26" t="str">
        <x:v>Transfermarkt</x:v>
      </x:c>
      <x:c r="T66" s="26" t="str">
        <x:v>https://www.transfermarkt.com/schnellsuche/ergebnis/schnellsuche?query=Yan+Valery</x:v>
      </x:c>
      <x:c r="U66" s="26" t="str">
        <x:v>Season aggregate across two clubs/leagues.</x:v>
      </x:c>
    </x:row>
    <x:row r="67">
      <x:c r="A67" s="26" t="str">
        <x:v>Tunisia</x:v>
      </x:c>
      <x:c r="B67" s="26" t="str">
        <x:v>Moutaz Neffati</x:v>
      </x:c>
      <x:c r="C67" s="26" t="str">
        <x:v>Right-Back</x:v>
      </x:c>
      <x:c r="D67" s="26" t="str">
        <x:v>DF</x:v>
      </x:c>
      <x:c r="E67" s="28" t="n">
        <x:v>21</x:v>
      </x:c>
      <x:c r="F67" s="30" t="n">
        <x:v>1.2</x:v>
      </x:c>
      <x:c r="G67" s="26" t="str">
        <x:v>2025</x:v>
      </x:c>
      <x:c r="H67" s="26" t="str">
        <x:v>Allsvenskan</x:v>
      </x:c>
      <x:c r="I67" s="26" t="str">
        <x:v>IFK Norrköping</x:v>
      </x:c>
      <x:c r="J67" s="28" t="n">
        <x:v>27</x:v>
      </x:c>
      <x:c r="K67" s="28" t="n">
        <x:v>27</x:v>
      </x:c>
      <x:c r="L67" s="28" t="n">
        <x:v>2325</x:v>
      </x:c>
      <x:c r="M67" s="28" t="n">
        <x:v>1</x:v>
      </x:c>
      <x:c r="N67" s="28" t="n">
        <x:v>4</x:v>
      </x:c>
      <x:c r="O67" s="28" t="n">
        <x:f>IF(COUNT(M67:N67)&lt;2,"",SUM(M67:N67))</x:f>
        <x:v>5</x:v>
      </x:c>
      <x:c r="P67" s="32" t="n">
        <x:f>IF(OR(COUNT(L67)=0,L67=0,COUNT(O67)=0),"",O67*90/L67)</x:f>
        <x:v>0.1935483870967742</x:v>
      </x:c>
      <x:c r="Q67" s="26" t="str">
        <x:f>IF(COUNT(J67:N67)=5,"Full","Partial")</x:f>
        <x:v>Full</x:v>
      </x:c>
      <x:c r="R67" s="26" t="str">
        <x:v>https://www.transfermarkt.us/tunisia/kader/verein/3670/saison_id/2026</x:v>
      </x:c>
      <x:c r="S67" s="26" t="str">
        <x:v>FBref</x:v>
      </x:c>
      <x:c r="T67" s="26" t="str">
        <x:v>https://fbref.com/en/search/search.fcgi?search=Moutaz+Neffati</x:v>
      </x:c>
      <x:c r="U67" s="26"/>
    </x:row>
    <x:row r="68">
      <x:c r="A68" s="26" t="str">
        <x:v>Tunisia</x:v>
      </x:c>
      <x:c r="B68" s="26" t="str">
        <x:v>Ellyes Skhiri</x:v>
      </x:c>
      <x:c r="C68" s="26" t="str">
        <x:v>Defensive Midfield</x:v>
      </x:c>
      <x:c r="D68" s="26" t="str">
        <x:v>MF</x:v>
      </x:c>
      <x:c r="E68" s="28" t="n">
        <x:v>31</x:v>
      </x:c>
      <x:c r="F68" s="30" t="n">
        <x:v>5</x:v>
      </x:c>
      <x:c r="G68" s="26" t="str">
        <x:v>2025/26</x:v>
      </x:c>
      <x:c r="H68" s="26" t="str">
        <x:v>Bundesliga</x:v>
      </x:c>
      <x:c r="I68" s="26" t="str">
        <x:v>Eintracht Frankfurt</x:v>
      </x:c>
      <x:c r="J68" s="28" t="n">
        <x:v>25</x:v>
      </x:c>
      <x:c r="K68" s="28" t="n">
        <x:v>16</x:v>
      </x:c>
      <x:c r="L68" s="28" t="n">
        <x:v>1442</x:v>
      </x:c>
      <x:c r="M68" s="28" t="n">
        <x:v>0</x:v>
      </x:c>
      <x:c r="N68" s="28" t="n">
        <x:v>0</x:v>
      </x:c>
      <x:c r="O68" s="28" t="n">
        <x:f>IF(COUNT(M68:N68)&lt;2,"",SUM(M68:N68))</x:f>
        <x:v>0</x:v>
      </x:c>
      <x:c r="P68" s="32" t="n">
        <x:f>IF(OR(COUNT(L68)=0,L68=0,COUNT(O68)=0),"",O68*90/L68)</x:f>
        <x:v>0</x:v>
      </x:c>
      <x:c r="Q68" s="26" t="str">
        <x:f>IF(COUNT(J68:N68)=5,"Full","Partial")</x:f>
        <x:v>Full</x:v>
      </x:c>
      <x:c r="R68" s="26" t="str">
        <x:v>https://www.transfermarkt.us/tunisia/kader/verein/3670/saison_id/2026</x:v>
      </x:c>
      <x:c r="S68" s="26" t="str">
        <x:v>FBref</x:v>
      </x:c>
      <x:c r="T68" s="26" t="str">
        <x:v>https://fbref.com/en/search/search.fcgi?search=Ellyes+Skhiri</x:v>
      </x:c>
      <x:c r="U68" s="26"/>
    </x:row>
    <x:row r="69">
      <x:c r="A69" s="26" t="str">
        <x:v>Tunisia</x:v>
      </x:c>
      <x:c r="B69" s="26" t="str">
        <x:v>Rani Khedira</x:v>
      </x:c>
      <x:c r="C69" s="26" t="str">
        <x:v>Defensive Midfield</x:v>
      </x:c>
      <x:c r="D69" s="26" t="str">
        <x:v>MF</x:v>
      </x:c>
      <x:c r="E69" s="28" t="n">
        <x:v>32</x:v>
      </x:c>
      <x:c r="F69" s="30" t="n">
        <x:v>2</x:v>
      </x:c>
      <x:c r="G69" s="26" t="str">
        <x:v>2025/26</x:v>
      </x:c>
      <x:c r="H69" s="26" t="str">
        <x:v>Bundesliga</x:v>
      </x:c>
      <x:c r="I69" s="26" t="str">
        <x:v>Union Berlin</x:v>
      </x:c>
      <x:c r="J69" s="28" t="n">
        <x:v>32</x:v>
      </x:c>
      <x:c r="K69" s="28" t="n">
        <x:v>32</x:v>
      </x:c>
      <x:c r="L69" s="28" t="n">
        <x:v>2835</x:v>
      </x:c>
      <x:c r="M69" s="28" t="n">
        <x:v>5</x:v>
      </x:c>
      <x:c r="N69" s="28" t="n">
        <x:v>1</x:v>
      </x:c>
      <x:c r="O69" s="28" t="n">
        <x:f>IF(COUNT(M69:N69)&lt;2,"",SUM(M69:N69))</x:f>
        <x:v>6</x:v>
      </x:c>
      <x:c r="P69" s="32" t="n">
        <x:f>IF(OR(COUNT(L69)=0,L69=0,COUNT(O69)=0),"",O69*90/L69)</x:f>
        <x:v>0.19047619047619047</x:v>
      </x:c>
      <x:c r="Q69" s="26" t="str">
        <x:f>IF(COUNT(J69:N69)=5,"Full","Partial")</x:f>
        <x:v>Full</x:v>
      </x:c>
      <x:c r="R69" s="26" t="str">
        <x:v>https://www.transfermarkt.us/tunisia/kader/verein/3670/saison_id/2026</x:v>
      </x:c>
      <x:c r="S69" s="26" t="str">
        <x:v>FBref</x:v>
      </x:c>
      <x:c r="T69" s="26" t="str">
        <x:v>https://fbref.com/en/search/search.fcgi?search=Rani+Khedira</x:v>
      </x:c>
      <x:c r="U69" s="26"/>
    </x:row>
    <x:row r="70">
      <x:c r="A70" s="26" t="str">
        <x:v>Tunisia</x:v>
      </x:c>
      <x:c r="B70" s="26" t="str">
        <x:v>Mohamed Belhadj Mahmoud</x:v>
      </x:c>
      <x:c r="C70" s="26" t="str">
        <x:v>Central Midfield</x:v>
      </x:c>
      <x:c r="D70" s="26" t="str">
        <x:v>MF</x:v>
      </x:c>
      <x:c r="E70" s="28" t="n">
        <x:v>26</x:v>
      </x:c>
      <x:c r="F70" s="30" t="n">
        <x:v>2</x:v>
      </x:c>
      <x:c r="G70" s="26" t="str">
        <x:v>2025/26</x:v>
      </x:c>
      <x:c r="H70" s="26" t="str">
        <x:v>Swiss Super League</x:v>
      </x:c>
      <x:c r="I70" s="26" t="str">
        <x:v>Lugano</x:v>
      </x:c>
      <x:c r="J70" s="28" t="n">
        <x:v>22</x:v>
      </x:c>
      <x:c r="K70" s="28"/>
      <x:c r="L70" s="28" t="n">
        <x:v>1055</x:v>
      </x:c>
      <x:c r="M70" s="28" t="n">
        <x:v>1</x:v>
      </x:c>
      <x:c r="N70" s="28" t="n">
        <x:v>0</x:v>
      </x:c>
      <x:c r="O70" s="28" t="n">
        <x:f>IF(COUNT(M70:N70)&lt;2,"",SUM(M70:N70))</x:f>
        <x:v>1</x:v>
      </x:c>
      <x:c r="P70" s="32" t="n">
        <x:f>IF(OR(COUNT(L70)=0,L70=0,COUNT(O70)=0),"",O70*90/L70)</x:f>
        <x:v>0.08530805687203792</x:v>
      </x:c>
      <x:c r="Q70" s="26" t="str">
        <x:f>IF(COUNT(J70:N70)=5,"Full","Partial")</x:f>
        <x:v>Partial</x:v>
      </x:c>
      <x:c r="R70" s="26" t="str">
        <x:v>https://www.transfermarkt.us/tunisia/kader/verein/3670/saison_id/2026</x:v>
      </x:c>
      <x:c r="S70" s="26" t="str">
        <x:v>Transfermarkt</x:v>
      </x:c>
      <x:c r="T70" s="26" t="str">
        <x:v>https://www.transfermarkt.com/mohamed-belhaj-mahmoud/leistungsdaten/spieler/673513</x:v>
      </x:c>
      <x:c r="U70" s="26" t="str">
        <x:v>Provider snapshots differ slightly; Transfermarkt league line used.</x:v>
      </x:c>
    </x:row>
    <x:row r="71">
      <x:c r="A71" s="26" t="str">
        <x:v>Tunisia</x:v>
      </x:c>
      <x:c r="B71" s="26" t="str">
        <x:v>Hannibal Mejbri</x:v>
      </x:c>
      <x:c r="C71" s="26" t="str">
        <x:v>Attacking Midfield</x:v>
      </x:c>
      <x:c r="D71" s="26" t="str">
        <x:v>MF</x:v>
      </x:c>
      <x:c r="E71" s="28" t="n">
        <x:v>23</x:v>
      </x:c>
      <x:c r="F71" s="30" t="n">
        <x:v>15</x:v>
      </x:c>
      <x:c r="G71" s="26" t="str">
        <x:v>2025/26</x:v>
      </x:c>
      <x:c r="H71" s="26" t="str">
        <x:v>Premier League</x:v>
      </x:c>
      <x:c r="I71" s="26" t="str">
        <x:v>Burnley</x:v>
      </x:c>
      <x:c r="J71" s="28" t="n">
        <x:v>27</x:v>
      </x:c>
      <x:c r="K71" s="28" t="n">
        <x:v>15</x:v>
      </x:c>
      <x:c r="L71" s="28" t="n">
        <x:v>1229</x:v>
      </x:c>
      <x:c r="M71" s="28" t="n">
        <x:v>1</x:v>
      </x:c>
      <x:c r="N71" s="28" t="n">
        <x:v>4</x:v>
      </x:c>
      <x:c r="O71" s="28" t="n">
        <x:f>IF(COUNT(M71:N71)&lt;2,"",SUM(M71:N71))</x:f>
        <x:v>5</x:v>
      </x:c>
      <x:c r="P71" s="32" t="n">
        <x:f>IF(OR(COUNT(L71)=0,L71=0,COUNT(O71)=0),"",O71*90/L71)</x:f>
        <x:v>0.3661513425549227</x:v>
      </x:c>
      <x:c r="Q71" s="26" t="str">
        <x:f>IF(COUNT(J71:N71)=5,"Full","Partial")</x:f>
        <x:v>Full</x:v>
      </x:c>
      <x:c r="R71" s="26" t="str">
        <x:v>https://www.transfermarkt.us/tunisia/kader/verein/3670/saison_id/2026</x:v>
      </x:c>
      <x:c r="S71" s="26" t="str">
        <x:v>FBref</x:v>
      </x:c>
      <x:c r="T71" s="26" t="str">
        <x:v>https://fbref.com/en/search/search.fcgi?search=Hannibal+Mejbri</x:v>
      </x:c>
      <x:c r="U71" s="26"/>
    </x:row>
    <x:row r="72">
      <x:c r="A72" s="26" t="str">
        <x:v>Tunisia</x:v>
      </x:c>
      <x:c r="B72" s="26" t="str">
        <x:v>Anis Ben Slimane</x:v>
      </x:c>
      <x:c r="C72" s="26" t="str">
        <x:v>Attacking Midfield</x:v>
      </x:c>
      <x:c r="D72" s="26" t="str">
        <x:v>MF</x:v>
      </x:c>
      <x:c r="E72" s="28" t="n">
        <x:v>25</x:v>
      </x:c>
      <x:c r="F72" s="30" t="n">
        <x:v>4</x:v>
      </x:c>
      <x:c r="G72" s="26" t="str">
        <x:v>2025/26</x:v>
      </x:c>
      <x:c r="H72" s="26" t="str">
        <x:v>Championship</x:v>
      </x:c>
      <x:c r="I72" s="26" t="str">
        <x:v>Norwich City</x:v>
      </x:c>
      <x:c r="J72" s="28" t="n">
        <x:v>22</x:v>
      </x:c>
      <x:c r="K72" s="28" t="n">
        <x:v>15</x:v>
      </x:c>
      <x:c r="L72" s="28" t="n">
        <x:v>1234</x:v>
      </x:c>
      <x:c r="M72" s="28" t="n">
        <x:v>5</x:v>
      </x:c>
      <x:c r="N72" s="28" t="n">
        <x:v>2</x:v>
      </x:c>
      <x:c r="O72" s="28" t="n">
        <x:f>IF(COUNT(M72:N72)&lt;2,"",SUM(M72:N72))</x:f>
        <x:v>7</x:v>
      </x:c>
      <x:c r="P72" s="32" t="n">
        <x:f>IF(OR(COUNT(L72)=0,L72=0,COUNT(O72)=0),"",O72*90/L72)</x:f>
        <x:v>0.5105348460291734</x:v>
      </x:c>
      <x:c r="Q72" s="26" t="str">
        <x:f>IF(COUNT(J72:N72)=5,"Full","Partial")</x:f>
        <x:v>Full</x:v>
      </x:c>
      <x:c r="R72" s="26" t="str">
        <x:v>https://www.transfermarkt.us/tunisia/kader/verein/3670/saison_id/2026</x:v>
      </x:c>
      <x:c r="S72" s="26" t="str">
        <x:v>FBref</x:v>
      </x:c>
      <x:c r="T72" s="26" t="str">
        <x:v>https://fbref.com/en/search/search.fcgi?search=Anis+Ben+Slimane</x:v>
      </x:c>
      <x:c r="U72" s="26"/>
    </x:row>
    <x:row r="73">
      <x:c r="A73" s="26" t="str">
        <x:v>Tunisia</x:v>
      </x:c>
      <x:c r="B73" s="26" t="str">
        <x:v>Ismaël Gharbi</x:v>
      </x:c>
      <x:c r="C73" s="26" t="str">
        <x:v>Left Winger</x:v>
      </x:c>
      <x:c r="D73" s="26" t="str">
        <x:v>FW</x:v>
      </x:c>
      <x:c r="E73" s="28" t="n">
        <x:v>22</x:v>
      </x:c>
      <x:c r="F73" s="30" t="n">
        <x:v>5</x:v>
      </x:c>
      <x:c r="G73" s="26" t="str">
        <x:v>2025/26</x:v>
      </x:c>
      <x:c r="H73" s="26" t="str">
        <x:v>Primeira Liga + Bundesliga</x:v>
      </x:c>
      <x:c r="I73" s="26" t="str">
        <x:v>Braga + Augsburg</x:v>
      </x:c>
      <x:c r="J73" s="28" t="n">
        <x:v>7</x:v>
      </x:c>
      <x:c r="K73" s="28" t="n">
        <x:v>1</x:v>
      </x:c>
      <x:c r="L73" s="28" t="n">
        <x:v>157</x:v>
      </x:c>
      <x:c r="M73" s="28" t="n">
        <x:v>0</x:v>
      </x:c>
      <x:c r="N73" s="28" t="n">
        <x:v>0</x:v>
      </x:c>
      <x:c r="O73" s="28" t="n">
        <x:f>IF(COUNT(M73:N73)&lt;2,"",SUM(M73:N73))</x:f>
        <x:v>0</x:v>
      </x:c>
      <x:c r="P73" s="32" t="n">
        <x:f>IF(OR(COUNT(L73)=0,L73=0,COUNT(O73)=0),"",O73*90/L73)</x:f>
        <x:v>0</x:v>
      </x:c>
      <x:c r="Q73" s="26" t="str">
        <x:f>IF(COUNT(J73:N73)=5,"Full","Partial")</x:f>
        <x:v>Full</x:v>
      </x:c>
      <x:c r="R73" s="26" t="str">
        <x:v>https://www.transfermarkt.us/tunisia/kader/verein/3670/saison_id/2026</x:v>
      </x:c>
      <x:c r="S73" s="26" t="str">
        <x:v>Transfermarkt</x:v>
      </x:c>
      <x:c r="T73" s="26" t="str">
        <x:v>https://www.transfermarkt.com/schnellsuche/ergebnis/schnellsuche?query=Isma%C3%ABl+Gharbi</x:v>
      </x:c>
      <x:c r="U73" s="26" t="str">
        <x:v>Season aggregate across Braga and Augsburg.</x:v>
      </x:c>
    </x:row>
    <x:row r="74">
      <x:c r="A74" s="26" t="str">
        <x:v>Tunisia</x:v>
      </x:c>
      <x:c r="B74" s="26" t="str">
        <x:v>Sebastian Tounekti</x:v>
      </x:c>
      <x:c r="C74" s="26" t="str">
        <x:v>Left Winger</x:v>
      </x:c>
      <x:c r="D74" s="26" t="str">
        <x:v>FW</x:v>
      </x:c>
      <x:c r="E74" s="28" t="n">
        <x:v>23</x:v>
      </x:c>
      <x:c r="F74" s="30" t="n">
        <x:v>5</x:v>
      </x:c>
      <x:c r="G74" s="26" t="str">
        <x:v>2025/26</x:v>
      </x:c>
      <x:c r="H74" s="26" t="str">
        <x:v>Scottish Premiership</x:v>
      </x:c>
      <x:c r="I74" s="26" t="str">
        <x:v>Celtic</x:v>
      </x:c>
      <x:c r="J74" s="28" t="n">
        <x:v>27</x:v>
      </x:c>
      <x:c r="K74" s="28" t="n">
        <x:v>18</x:v>
      </x:c>
      <x:c r="L74" s="28" t="n">
        <x:v>1509</x:v>
      </x:c>
      <x:c r="M74" s="28" t="n">
        <x:v>2</x:v>
      </x:c>
      <x:c r="N74" s="28" t="n">
        <x:v>2</x:v>
      </x:c>
      <x:c r="O74" s="28" t="n">
        <x:f>IF(COUNT(M74:N74)&lt;2,"",SUM(M74:N74))</x:f>
        <x:v>4</x:v>
      </x:c>
      <x:c r="P74" s="32" t="n">
        <x:f>IF(OR(COUNT(L74)=0,L74=0,COUNT(O74)=0),"",O74*90/L74)</x:f>
        <x:v>0.23856858846918488</x:v>
      </x:c>
      <x:c r="Q74" s="26" t="str">
        <x:f>IF(COUNT(J74:N74)=5,"Full","Partial")</x:f>
        <x:v>Full</x:v>
      </x:c>
      <x:c r="R74" s="26" t="str">
        <x:v>https://www.transfermarkt.us/tunisia/kader/verein/3670/saison_id/2026</x:v>
      </x:c>
      <x:c r="S74" s="26" t="str">
        <x:v>FBref</x:v>
      </x:c>
      <x:c r="T74" s="26" t="str">
        <x:v>https://fbref.com/en/search/search.fcgi?search=Sebastian+Tounekti</x:v>
      </x:c>
      <x:c r="U74" s="26"/>
    </x:row>
    <x:row r="75">
      <x:c r="A75" s="26" t="str">
        <x:v>Tunisia</x:v>
      </x:c>
      <x:c r="B75" s="26" t="str">
        <x:v>Elias Achouri</x:v>
      </x:c>
      <x:c r="C75" s="26" t="str">
        <x:v>Left Winger</x:v>
      </x:c>
      <x:c r="D75" s="26" t="str">
        <x:v>FW</x:v>
      </x:c>
      <x:c r="E75" s="28" t="n">
        <x:v>27</x:v>
      </x:c>
      <x:c r="F75" s="30" t="n">
        <x:v>3</x:v>
      </x:c>
      <x:c r="G75" s="26" t="str">
        <x:v>2025/26</x:v>
      </x:c>
      <x:c r="H75" s="26" t="str">
        <x:v>Danish Superliga</x:v>
      </x:c>
      <x:c r="I75" s="26" t="str">
        <x:v>FC Copenhagen</x:v>
      </x:c>
      <x:c r="J75" s="28" t="n">
        <x:v>21</x:v>
      </x:c>
      <x:c r="K75" s="28" t="n">
        <x:v>15</x:v>
      </x:c>
      <x:c r="L75" s="28" t="n">
        <x:v>1384</x:v>
      </x:c>
      <x:c r="M75" s="28" t="n">
        <x:v>3</x:v>
      </x:c>
      <x:c r="N75" s="28" t="n">
        <x:v>4</x:v>
      </x:c>
      <x:c r="O75" s="28" t="n">
        <x:f>IF(COUNT(M75:N75)&lt;2,"",SUM(M75:N75))</x:f>
        <x:v>7</x:v>
      </x:c>
      <x:c r="P75" s="32" t="n">
        <x:f>IF(OR(COUNT(L75)=0,L75=0,COUNT(O75)=0),"",O75*90/L75)</x:f>
        <x:v>0.4552023121387283</x:v>
      </x:c>
      <x:c r="Q75" s="26" t="str">
        <x:f>IF(COUNT(J75:N75)=5,"Full","Partial")</x:f>
        <x:v>Full</x:v>
      </x:c>
      <x:c r="R75" s="26" t="str">
        <x:v>https://www.transfermarkt.us/tunisia/kader/verein/3670/saison_id/2026</x:v>
      </x:c>
      <x:c r="S75" s="26" t="str">
        <x:v>Transfermarkt</x:v>
      </x:c>
      <x:c r="T75" s="26" t="str">
        <x:v>https://www.transfermarkt.com/schnellsuche/ergebnis/schnellsuche?query=Elias+Achouri</x:v>
      </x:c>
      <x:c r="U75" s="26"/>
    </x:row>
    <x:row r="76">
      <x:c r="A76" s="26" t="str">
        <x:v>Tunisia</x:v>
      </x:c>
      <x:c r="B76" s="26" t="str">
        <x:v>Elias Saad</x:v>
      </x:c>
      <x:c r="C76" s="26" t="str">
        <x:v>Left Winger</x:v>
      </x:c>
      <x:c r="D76" s="26" t="str">
        <x:v>FW</x:v>
      </x:c>
      <x:c r="E76" s="28" t="n">
        <x:v>26</x:v>
      </x:c>
      <x:c r="F76" s="30" t="n">
        <x:v>2</x:v>
      </x:c>
      <x:c r="G76" s="26" t="str">
        <x:v>2025/26</x:v>
      </x:c>
      <x:c r="H76" s="26" t="str">
        <x:v>Bundesliga + 2. Bundesliga</x:v>
      </x:c>
      <x:c r="I76" s="26" t="str">
        <x:v>Augsburg + Hannover 96</x:v>
      </x:c>
      <x:c r="J76" s="28" t="n">
        <x:v>23</x:v>
      </x:c>
      <x:c r="K76" s="28" t="n">
        <x:v>15</x:v>
      </x:c>
      <x:c r="L76" s="28" t="n">
        <x:v>1206</x:v>
      </x:c>
      <x:c r="M76" s="28" t="n">
        <x:v>0</x:v>
      </x:c>
      <x:c r="N76" s="28" t="n">
        <x:v>3</x:v>
      </x:c>
      <x:c r="O76" s="28" t="n">
        <x:f>IF(COUNT(M76:N76)&lt;2,"",SUM(M76:N76))</x:f>
        <x:v>3</x:v>
      </x:c>
      <x:c r="P76" s="32" t="n">
        <x:f>IF(OR(COUNT(L76)=0,L76=0,COUNT(O76)=0),"",O76*90/L76)</x:f>
        <x:v>0.22388059701492538</x:v>
      </x:c>
      <x:c r="Q76" s="26" t="str">
        <x:f>IF(COUNT(J76:N76)=5,"Full","Partial")</x:f>
        <x:v>Full</x:v>
      </x:c>
      <x:c r="R76" s="26" t="str">
        <x:v>https://www.transfermarkt.us/tunisia/kader/verein/3670/saison_id/2026</x:v>
      </x:c>
      <x:c r="S76" s="26" t="str">
        <x:v>Transfermarkt</x:v>
      </x:c>
      <x:c r="T76" s="26" t="str">
        <x:v>https://www.transfermarkt.com/schnellsuche/ergebnis/schnellsuche?query=Elias+Saad</x:v>
      </x:c>
      <x:c r="U76" s="26" t="str">
        <x:v>Season aggregate across Augsburg and Hannover.</x:v>
      </x:c>
    </x:row>
    <x:row r="77">
      <x:c r="A77" s="26" t="str">
        <x:v>Tunisia</x:v>
      </x:c>
      <x:c r="B77" s="26" t="str">
        <x:v>Mortadha Ben Ouanes</x:v>
      </x:c>
      <x:c r="C77" s="26" t="str">
        <x:v>Left Winger</x:v>
      </x:c>
      <x:c r="D77" s="26" t="str">
        <x:v>FW</x:v>
      </x:c>
      <x:c r="E77" s="28" t="n">
        <x:v>31</x:v>
      </x:c>
      <x:c r="F77" s="30" t="n">
        <x:v>1.5</x:v>
      </x:c>
      <x:c r="G77" s="26" t="str">
        <x:v>2025/26</x:v>
      </x:c>
      <x:c r="H77" s="26" t="str">
        <x:v>Süper Lig</x:v>
      </x:c>
      <x:c r="I77" s="26" t="str">
        <x:v>Kasımpaşa</x:v>
      </x:c>
      <x:c r="J77" s="28" t="n">
        <x:v>28</x:v>
      </x:c>
      <x:c r="K77" s="28" t="n">
        <x:v>26</x:v>
      </x:c>
      <x:c r="L77" s="28" t="n">
        <x:v>2279</x:v>
      </x:c>
      <x:c r="M77" s="28" t="n">
        <x:v>2</x:v>
      </x:c>
      <x:c r="N77" s="28" t="n">
        <x:v>6</x:v>
      </x:c>
      <x:c r="O77" s="28" t="n">
        <x:f>IF(COUNT(M77:N77)&lt;2,"",SUM(M77:N77))</x:f>
        <x:v>8</x:v>
      </x:c>
      <x:c r="P77" s="32" t="n">
        <x:f>IF(OR(COUNT(L77)=0,L77=0,COUNT(O77)=0),"",O77*90/L77)</x:f>
        <x:v>0.31592803861342694</x:v>
      </x:c>
      <x:c r="Q77" s="26" t="str">
        <x:f>IF(COUNT(J77:N77)=5,"Full","Partial")</x:f>
        <x:v>Full</x:v>
      </x:c>
      <x:c r="R77" s="26" t="str">
        <x:v>https://www.transfermarkt.us/tunisia/kader/verein/3670/saison_id/2026</x:v>
      </x:c>
      <x:c r="S77" s="26" t="str">
        <x:v>Transfermarkt</x:v>
      </x:c>
      <x:c r="T77" s="26" t="str">
        <x:v>https://www.transfermarkt.com/schnellsuche/ergebnis/schnellsuche?query=Mortadha+Ben+Ouanes</x:v>
      </x:c>
      <x:c r="U77" s="26"/>
    </x:row>
    <x:row r="78">
      <x:c r="A78" s="26" t="str">
        <x:v>Tunisia</x:v>
      </x:c>
      <x:c r="B78" s="26" t="str">
        <x:v>Khalil Ayari</x:v>
      </x:c>
      <x:c r="C78" s="26" t="str">
        <x:v>Right Winger</x:v>
      </x:c>
      <x:c r="D78" s="26" t="str">
        <x:v>FW</x:v>
      </x:c>
      <x:c r="E78" s="28" t="n">
        <x:v>21</x:v>
      </x:c>
      <x:c r="F78" s="30" t="n">
        <x:v>1</x:v>
      </x:c>
      <x:c r="G78" s="26" t="str">
        <x:v>2025/26</x:v>
      </x:c>
      <x:c r="H78" s="26" t="str">
        <x:v>Tunisian Ligue 1</x:v>
      </x:c>
      <x:c r="I78" s="26" t="str">
        <x:v>Stade Tunisien</x:v>
      </x:c>
      <x:c r="J78" s="28" t="n">
        <x:v>2</x:v>
      </x:c>
      <x:c r="K78" s="28" t="n">
        <x:v>1</x:v>
      </x:c>
      <x:c r="L78" s="28" t="n">
        <x:v>126</x:v>
      </x:c>
      <x:c r="M78" s="28" t="n">
        <x:v>0</x:v>
      </x:c>
      <x:c r="N78" s="28" t="n">
        <x:v>0</x:v>
      </x:c>
      <x:c r="O78" s="28" t="n">
        <x:f>IF(COUNT(M78:N78)&lt;2,"",SUM(M78:N78))</x:f>
        <x:v>0</x:v>
      </x:c>
      <x:c r="P78" s="32" t="n">
        <x:f>IF(OR(COUNT(L78)=0,L78=0,COUNT(O78)=0),"",O78*90/L78)</x:f>
        <x:v>0</x:v>
      </x:c>
      <x:c r="Q78" s="26" t="str">
        <x:f>IF(COUNT(J78:N78)=5,"Full","Partial")</x:f>
        <x:v>Full</x:v>
      </x:c>
      <x:c r="R78" s="26" t="str">
        <x:v>https://www.transfermarkt.us/tunisia/kader/verein/3670/saison_id/2026</x:v>
      </x:c>
      <x:c r="S78" s="26" t="str">
        <x:v>Transfermarkt</x:v>
      </x:c>
      <x:c r="T78" s="26" t="str">
        <x:v>https://www.transfermarkt.com/schnellsuche/ergebnis/schnellsuche?query=Khalil+Ayari</x:v>
      </x:c>
      <x:c r="U78" s="26" t="str">
        <x:v>Senior first-division league only; youth/reserve appearances excluded.</x:v>
      </x:c>
    </x:row>
    <x:row r="79">
      <x:c r="A79" s="26" t="str">
        <x:v>Tunisia</x:v>
      </x:c>
      <x:c r="B79" s="26" t="str">
        <x:v>Firas Chaouat</x:v>
      </x:c>
      <x:c r="C79" s="26" t="str">
        <x:v>Centre-Forward</x:v>
      </x:c>
      <x:c r="D79" s="26" t="str">
        <x:v>FW</x:v>
      </x:c>
      <x:c r="E79" s="28" t="n">
        <x:v>30</x:v>
      </x:c>
      <x:c r="F79" s="30" t="n">
        <x:v>1.2</x:v>
      </x:c>
      <x:c r="G79" s="26" t="str">
        <x:v>2025/26</x:v>
      </x:c>
      <x:c r="H79" s="26" t="str">
        <x:v>Tunisian Ligue 1</x:v>
      </x:c>
      <x:c r="I79" s="26" t="str">
        <x:v>Club Africain</x:v>
      </x:c>
      <x:c r="J79" s="28" t="n">
        <x:v>25</x:v>
      </x:c>
      <x:c r="K79" s="28" t="n">
        <x:v>24</x:v>
      </x:c>
      <x:c r="L79" s="28" t="n">
        <x:v>2152</x:v>
      </x:c>
      <x:c r="M79" s="28" t="n">
        <x:v>15</x:v>
      </x:c>
      <x:c r="N79" s="28" t="n">
        <x:v>0</x:v>
      </x:c>
      <x:c r="O79" s="28" t="n">
        <x:f>IF(COUNT(M79:N79)&lt;2,"",SUM(M79:N79))</x:f>
        <x:v>15</x:v>
      </x:c>
      <x:c r="P79" s="32" t="n">
        <x:f>IF(OR(COUNT(L79)=0,L79=0,COUNT(O79)=0),"",O79*90/L79)</x:f>
        <x:v>0.6273234200743495</x:v>
      </x:c>
      <x:c r="Q79" s="26" t="str">
        <x:f>IF(COUNT(J79:N79)=5,"Full","Partial")</x:f>
        <x:v>Full</x:v>
      </x:c>
      <x:c r="R79" s="26" t="str">
        <x:v>https://www.transfermarkt.us/tunisia/kader/verein/3670/saison_id/2026</x:v>
      </x:c>
      <x:c r="S79" s="26" t="str">
        <x:v>Transfermarkt</x:v>
      </x:c>
      <x:c r="T79" s="26" t="str">
        <x:v>https://www.transfermarkt.com/schnellsuche/ergebnis/schnellsuche?query=Firas+Chaouat</x:v>
      </x:c>
      <x:c r="U79" s="26"/>
    </x:row>
    <x:row r="80">
      <x:c r="A80" s="26" t="str">
        <x:v>Tunisia</x:v>
      </x:c>
      <x:c r="B80" s="26" t="str">
        <x:v>Hazem Mastouri</x:v>
      </x:c>
      <x:c r="C80" s="26" t="str">
        <x:v>Centre-Forward</x:v>
      </x:c>
      <x:c r="D80" s="26" t="str">
        <x:v>FW</x:v>
      </x:c>
      <x:c r="E80" s="28" t="n">
        <x:v>29</x:v>
      </x:c>
      <x:c r="F80" s="30" t="n">
        <x:v>0.9</x:v>
      </x:c>
      <x:c r="G80" s="26" t="str">
        <x:v>2025/26</x:v>
      </x:c>
      <x:c r="H80" s="26" t="str">
        <x:v>Russian Premier League + Tunisian Ligue 1</x:v>
      </x:c>
      <x:c r="I80" s="26" t="str">
        <x:v>Dynamo Makhachkala + US Monastir</x:v>
      </x:c>
      <x:c r="J80" s="28" t="n">
        <x:v>22</x:v>
      </x:c>
      <x:c r="K80" s="28" t="n">
        <x:v>10</x:v>
      </x:c>
      <x:c r="L80" s="28" t="n">
        <x:v>1177</x:v>
      </x:c>
      <x:c r="M80" s="28" t="n">
        <x:v>2</x:v>
      </x:c>
      <x:c r="N80" s="28" t="n">
        <x:v>0</x:v>
      </x:c>
      <x:c r="O80" s="28" t="n">
        <x:f>IF(COUNT(M80:N80)&lt;2,"",SUM(M80:N80))</x:f>
        <x:v>2</x:v>
      </x:c>
      <x:c r="P80" s="32" t="n">
        <x:f>IF(OR(COUNT(L80)=0,L80=0,COUNT(O80)=0),"",O80*90/L80)</x:f>
        <x:v>0.15293118096856415</x:v>
      </x:c>
      <x:c r="Q80" s="26" t="str">
        <x:f>IF(COUNT(J80:N80)=5,"Full","Partial")</x:f>
        <x:v>Full</x:v>
      </x:c>
      <x:c r="R80" s="26" t="str">
        <x:v>https://www.transfermarkt.us/tunisia/kader/verein/3670/saison_id/2026</x:v>
      </x:c>
      <x:c r="S80" s="26" t="str">
        <x:v>Transfermarkt</x:v>
      </x:c>
      <x:c r="T80" s="26" t="str">
        <x:v>https://www.transfermarkt.com/schnellsuche/ergebnis/schnellsuche?query=Hazem+Mastouri</x:v>
      </x:c>
      <x:c r="U80" s="26" t="str">
        <x:v>Season aggregate across Russia and Tunisia.</x:v>
      </x:c>
    </x:row>
    <x:row r="81">
      <x:c r="A81" s="26" t="str">
        <x:v>Tunisia</x:v>
      </x:c>
      <x:c r="B81" s="26" t="str">
        <x:v>Rayan Elloumi</x:v>
      </x:c>
      <x:c r="C81" s="26" t="str">
        <x:v>Centre-Forward</x:v>
      </x:c>
      <x:c r="D81" s="26" t="str">
        <x:v>FW</x:v>
      </x:c>
      <x:c r="E81" s="28" t="n">
        <x:v>18</x:v>
      </x:c>
      <x:c r="F81" s="30" t="n">
        <x:v>0.8</x:v>
      </x:c>
      <x:c r="G81" s="26" t="str">
        <x:v>2025</x:v>
      </x:c>
      <x:c r="H81" s="26" t="str">
        <x:v>MLS</x:v>
      </x:c>
      <x:c r="I81" s="26" t="str">
        <x:v>Vancouver Whitecaps</x:v>
      </x:c>
      <x:c r="J81" s="28" t="n">
        <x:v>10</x:v>
      </x:c>
      <x:c r="K81" s="28" t="n">
        <x:v>2</x:v>
      </x:c>
      <x:c r="L81" s="28" t="n">
        <x:v>287</x:v>
      </x:c>
      <x:c r="M81" s="28" t="n">
        <x:v>2</x:v>
      </x:c>
      <x:c r="N81" s="28" t="n">
        <x:v>1</x:v>
      </x:c>
      <x:c r="O81" s="28" t="n">
        <x:f>IF(COUNT(M81:N81)&lt;2,"",SUM(M81:N81))</x:f>
        <x:v>3</x:v>
      </x:c>
      <x:c r="P81" s="32" t="n">
        <x:f>IF(OR(COUNT(L81)=0,L81=0,COUNT(O81)=0),"",O81*90/L81)</x:f>
        <x:v>0.9407665505226481</x:v>
      </x:c>
      <x:c r="Q81" s="26" t="str">
        <x:f>IF(COUNT(J81:N81)=5,"Full","Partial")</x:f>
        <x:v>Full</x:v>
      </x:c>
      <x:c r="R81" s="26" t="str">
        <x:v>https://www.transfermarkt.us/tunisia/kader/verein/3670/saison_id/2026</x:v>
      </x:c>
      <x:c r="S81" s="26" t="str">
        <x:v>FBref</x:v>
      </x:c>
      <x:c r="T81" s="26" t="str">
        <x:v>https://fbref.com/en/search/search.fcgi?search=Rayan+Elloumi</x:v>
      </x:c>
      <x:c r="U81" s="26" t="str">
        <x:v>Senior MLS only; reserve-team stats excluded.</x:v>
      </x:c>
    </x:row>
    <x:row r="82">
      <x:c r="A82" s="26" t="str">
        <x:v>Sweden</x:v>
      </x:c>
      <x:c r="B82" s="26" t="str">
        <x:v>Viktor Johansson</x:v>
      </x:c>
      <x:c r="C82" s="26" t="str">
        <x:v>Goalkeeper</x:v>
      </x:c>
      <x:c r="D82" s="26" t="str">
        <x:v>GK</x:v>
      </x:c>
      <x:c r="E82" s="28" t="n">
        <x:v>27</x:v>
      </x:c>
      <x:c r="F82" s="30" t="n">
        <x:v>12</x:v>
      </x:c>
      <x:c r="G82" s="26" t="str">
        <x:v>2025/26</x:v>
      </x:c>
      <x:c r="H82" s="26" t="str">
        <x:v>Championship</x:v>
      </x:c>
      <x:c r="I82" s="26" t="str">
        <x:v>Stoke City</x:v>
      </x:c>
      <x:c r="J82" s="28" t="n">
        <x:v>25</x:v>
      </x:c>
      <x:c r="K82" s="28" t="n">
        <x:v>25</x:v>
      </x:c>
      <x:c r="L82" s="28" t="n">
        <x:v>2250</x:v>
      </x:c>
      <x:c r="M82" s="28" t="n">
        <x:v>0</x:v>
      </x:c>
      <x:c r="N82" s="28" t="n">
        <x:v>0</x:v>
      </x:c>
      <x:c r="O82" s="28" t="n">
        <x:f>IF(COUNT(M82:N82)&lt;2,"",SUM(M82:N82))</x:f>
        <x:v>0</x:v>
      </x:c>
      <x:c r="P82" s="32" t="n">
        <x:f>IF(OR(COUNT(L82)=0,L82=0,COUNT(O82)=0),"",O82*90/L82)</x:f>
        <x:v>0</x:v>
      </x:c>
      <x:c r="Q82" s="26" t="str">
        <x:f>IF(COUNT(J82:N82)=5,"Full","Partial")</x:f>
        <x:v>Full</x:v>
      </x:c>
      <x:c r="R82" s="26" t="str">
        <x:v>https://www.transfermarkt.com/sweden/kader/verein/3557/saison_id/2026</x:v>
      </x:c>
      <x:c r="S82" s="26" t="str">
        <x:v>FBref</x:v>
      </x:c>
      <x:c r="T82" s="26" t="str">
        <x:v>https://fbref.com/en/players/e4a588a7/Viktor-Johansson</x:v>
      </x:c>
      <x:c r="U82" s="26"/>
    </x:row>
    <x:row r="83">
      <x:c r="A83" s="26" t="str">
        <x:v>Sweden</x:v>
      </x:c>
      <x:c r="B83" s="26" t="str">
        <x:v>Jacob Widell Zetterström</x:v>
      </x:c>
      <x:c r="C83" s="26" t="str">
        <x:v>Goalkeeper</x:v>
      </x:c>
      <x:c r="D83" s="26" t="str">
        <x:v>GK</x:v>
      </x:c>
      <x:c r="E83" s="28" t="n">
        <x:v>28</x:v>
      </x:c>
      <x:c r="F83" s="30" t="n">
        <x:v>2.5</x:v>
      </x:c>
      <x:c r="G83" s="26" t="str">
        <x:v>2025/26</x:v>
      </x:c>
      <x:c r="H83" s="26" t="str">
        <x:v>Championship</x:v>
      </x:c>
      <x:c r="I83" s="26" t="str">
        <x:v>Derby County</x:v>
      </x:c>
      <x:c r="J83" s="28" t="n">
        <x:v>32</x:v>
      </x:c>
      <x:c r="K83" s="28" t="n">
        <x:v>32</x:v>
      </x:c>
      <x:c r="L83" s="28" t="n">
        <x:v>2880</x:v>
      </x:c>
      <x:c r="M83" s="28" t="n">
        <x:v>0</x:v>
      </x:c>
      <x:c r="N83" s="28" t="n">
        <x:v>0</x:v>
      </x:c>
      <x:c r="O83" s="28" t="n">
        <x:f>IF(COUNT(M83:N83)&lt;2,"",SUM(M83:N83))</x:f>
        <x:v>0</x:v>
      </x:c>
      <x:c r="P83" s="32" t="n">
        <x:f>IF(OR(COUNT(L83)=0,L83=0,COUNT(O83)=0),"",O83*90/L83)</x:f>
        <x:v>0</x:v>
      </x:c>
      <x:c r="Q83" s="26" t="str">
        <x:f>IF(COUNT(J83:N83)=5,"Full","Partial")</x:f>
        <x:v>Full</x:v>
      </x:c>
      <x:c r="R83" s="26" t="str">
        <x:v>https://www.transfermarkt.com/sweden/kader/verein/3557/saison_id/2026</x:v>
      </x:c>
      <x:c r="S83" s="26" t="str">
        <x:v>Transfermarkt</x:v>
      </x:c>
      <x:c r="T83" s="26" t="str">
        <x:v>https://www.transfermarkt.com/schnellsuche/ergebnis/schnellsuche?query=Jacob+Widell+Zetterstr%C3%B6m</x:v>
      </x:c>
      <x:c r="U83" s="26"/>
    </x:row>
    <x:row r="84">
      <x:c r="A84" s="26" t="str">
        <x:v>Sweden</x:v>
      </x:c>
      <x:c r="B84" s="26" t="str">
        <x:v>Kristoffer Nordfeldt</x:v>
      </x:c>
      <x:c r="C84" s="26" t="str">
        <x:v>Goalkeeper</x:v>
      </x:c>
      <x:c r="D84" s="26" t="str">
        <x:v>GK</x:v>
      </x:c>
      <x:c r="E84" s="28" t="n">
        <x:v>37</x:v>
      </x:c>
      <x:c r="F84" s="30" t="n">
        <x:v>0.175</x:v>
      </x:c>
      <x:c r="G84" s="26" t="str">
        <x:v>2025</x:v>
      </x:c>
      <x:c r="H84" s="26" t="str">
        <x:v>Allsvenskan</x:v>
      </x:c>
      <x:c r="I84" s="26" t="str">
        <x:v>AIK</x:v>
      </x:c>
      <x:c r="J84" s="28" t="n">
        <x:v>28</x:v>
      </x:c>
      <x:c r="K84" s="28" t="n">
        <x:v>28</x:v>
      </x:c>
      <x:c r="L84" s="28" t="n">
        <x:v>2520</x:v>
      </x:c>
      <x:c r="M84" s="28" t="n">
        <x:v>0</x:v>
      </x:c>
      <x:c r="N84" s="28" t="n">
        <x:v>0</x:v>
      </x:c>
      <x:c r="O84" s="28" t="n">
        <x:f>IF(COUNT(M84:N84)&lt;2,"",SUM(M84:N84))</x:f>
        <x:v>0</x:v>
      </x:c>
      <x:c r="P84" s="32" t="n">
        <x:f>IF(OR(COUNT(L84)=0,L84=0,COUNT(O84)=0),"",O84*90/L84)</x:f>
        <x:v>0</x:v>
      </x:c>
      <x:c r="Q84" s="26" t="str">
        <x:f>IF(COUNT(J84:N84)=5,"Full","Partial")</x:f>
        <x:v>Full</x:v>
      </x:c>
      <x:c r="R84" s="26" t="str">
        <x:v>https://www.transfermarkt.com/sweden/kader/verein/3557/saison_id/2026</x:v>
      </x:c>
      <x:c r="S84" s="26" t="str">
        <x:v>FBref</x:v>
      </x:c>
      <x:c r="T84" s="26" t="str">
        <x:v>https://fbref.com/en/search/search.fcgi?search=Kristoffer+Nordfeldt</x:v>
      </x:c>
      <x:c r="U84" s="26"/>
    </x:row>
    <x:row r="85">
      <x:c r="A85" s="26" t="str">
        <x:v>Sweden</x:v>
      </x:c>
      <x:c r="B85" s="26" t="str">
        <x:v>Isak Hien</x:v>
      </x:c>
      <x:c r="C85" s="26" t="str">
        <x:v>Centre-Back</x:v>
      </x:c>
      <x:c r="D85" s="26" t="str">
        <x:v>DF</x:v>
      </x:c>
      <x:c r="E85" s="28" t="n">
        <x:v>27</x:v>
      </x:c>
      <x:c r="F85" s="30" t="n">
        <x:v>22</x:v>
      </x:c>
      <x:c r="G85" s="26" t="str">
        <x:v>2025/26</x:v>
      </x:c>
      <x:c r="H85" s="26" t="str">
        <x:v>Serie A</x:v>
      </x:c>
      <x:c r="I85" s="26" t="str">
        <x:v>Atalanta</x:v>
      </x:c>
      <x:c r="J85" s="28" t="n">
        <x:v>28</x:v>
      </x:c>
      <x:c r="K85" s="28" t="n">
        <x:v>20</x:v>
      </x:c>
      <x:c r="L85" s="28" t="n">
        <x:v>1964</x:v>
      </x:c>
      <x:c r="M85" s="28" t="n">
        <x:v>1</x:v>
      </x:c>
      <x:c r="N85" s="28" t="n">
        <x:v>0</x:v>
      </x:c>
      <x:c r="O85" s="28" t="n">
        <x:f>IF(COUNT(M85:N85)&lt;2,"",SUM(M85:N85))</x:f>
        <x:v>1</x:v>
      </x:c>
      <x:c r="P85" s="32" t="n">
        <x:f>IF(OR(COUNT(L85)=0,L85=0,COUNT(O85)=0),"",O85*90/L85)</x:f>
        <x:v>0.045824847250509164</x:v>
      </x:c>
      <x:c r="Q85" s="26" t="str">
        <x:f>IF(COUNT(J85:N85)=5,"Full","Partial")</x:f>
        <x:v>Full</x:v>
      </x:c>
      <x:c r="R85" s="26" t="str">
        <x:v>https://www.transfermarkt.com/sweden/kader/verein/3557/saison_id/2026</x:v>
      </x:c>
      <x:c r="S85" s="26" t="str">
        <x:v>FBref</x:v>
      </x:c>
      <x:c r="T85" s="26" t="str">
        <x:v>https://fbref.com/en/search/search.fcgi?search=Isak+Hien</x:v>
      </x:c>
      <x:c r="U85" s="26"/>
    </x:row>
    <x:row r="86">
      <x:c r="A86" s="26" t="str">
        <x:v>Sweden</x:v>
      </x:c>
      <x:c r="B86" s="26" t="str">
        <x:v>Gustaf Lagerbielke</x:v>
      </x:c>
      <x:c r="C86" s="26" t="str">
        <x:v>Centre-Back</x:v>
      </x:c>
      <x:c r="D86" s="26" t="str">
        <x:v>DF</x:v>
      </x:c>
      <x:c r="E86" s="28" t="n">
        <x:v>26</x:v>
      </x:c>
      <x:c r="F86" s="30" t="n">
        <x:v>10</x:v>
      </x:c>
      <x:c r="G86" s="26" t="str">
        <x:v>2025/26</x:v>
      </x:c>
      <x:c r="H86" s="26" t="str">
        <x:v>Primeira Liga</x:v>
      </x:c>
      <x:c r="I86" s="26" t="str">
        <x:v>Braga</x:v>
      </x:c>
      <x:c r="J86" s="28" t="n">
        <x:v>28</x:v>
      </x:c>
      <x:c r="K86" s="28" t="n">
        <x:v>26</x:v>
      </x:c>
      <x:c r="L86" s="28" t="n">
        <x:v>2391</x:v>
      </x:c>
      <x:c r="M86" s="28" t="n">
        <x:v>2</x:v>
      </x:c>
      <x:c r="N86" s="28" t="n">
        <x:v>0</x:v>
      </x:c>
      <x:c r="O86" s="28" t="n">
        <x:f>IF(COUNT(M86:N86)&lt;2,"",SUM(M86:N86))</x:f>
        <x:v>2</x:v>
      </x:c>
      <x:c r="P86" s="32" t="n">
        <x:f>IF(OR(COUNT(L86)=0,L86=0,COUNT(O86)=0),"",O86*90/L86)</x:f>
        <x:v>0.07528230865746549</x:v>
      </x:c>
      <x:c r="Q86" s="26" t="str">
        <x:f>IF(COUNT(J86:N86)=5,"Full","Partial")</x:f>
        <x:v>Full</x:v>
      </x:c>
      <x:c r="R86" s="26" t="str">
        <x:v>https://www.transfermarkt.com/sweden/kader/verein/3557/saison_id/2026</x:v>
      </x:c>
      <x:c r="S86" s="26" t="str">
        <x:v>Transfermarkt</x:v>
      </x:c>
      <x:c r="T86" s="26" t="str">
        <x:v>https://www.transfermarkt.com/schnellsuche/ergebnis/schnellsuche?query=Gustaf+Lagerbielke</x:v>
      </x:c>
      <x:c r="U86" s="26"/>
    </x:row>
    <x:row r="87">
      <x:c r="A87" s="26" t="str">
        <x:v>Sweden</x:v>
      </x:c>
      <x:c r="B87" s="26" t="str">
        <x:v>Victor Lindelöf</x:v>
      </x:c>
      <x:c r="C87" s="26" t="str">
        <x:v>Centre-Back</x:v>
      </x:c>
      <x:c r="D87" s="26" t="str">
        <x:v>DF</x:v>
      </x:c>
      <x:c r="E87" s="28" t="n">
        <x:v>32</x:v>
      </x:c>
      <x:c r="F87" s="30" t="n">
        <x:v>5</x:v>
      </x:c>
      <x:c r="G87" s="26" t="str">
        <x:v>2025/26</x:v>
      </x:c>
      <x:c r="H87" s="26" t="str">
        <x:v>Premier League</x:v>
      </x:c>
      <x:c r="I87" s="26" t="str">
        <x:v>Aston Villa</x:v>
      </x:c>
      <x:c r="J87" s="28" t="n">
        <x:v>17</x:v>
      </x:c>
      <x:c r="K87" s="28" t="n">
        <x:v>11</x:v>
      </x:c>
      <x:c r="L87" s="28" t="n">
        <x:v>945</x:v>
      </x:c>
      <x:c r="M87" s="28" t="n">
        <x:v>0</x:v>
      </x:c>
      <x:c r="N87" s="28" t="n">
        <x:v>1</x:v>
      </x:c>
      <x:c r="O87" s="28" t="n">
        <x:f>IF(COUNT(M87:N87)&lt;2,"",SUM(M87:N87))</x:f>
        <x:v>1</x:v>
      </x:c>
      <x:c r="P87" s="32" t="n">
        <x:f>IF(OR(COUNT(L87)=0,L87=0,COUNT(O87)=0),"",O87*90/L87)</x:f>
        <x:v>0.09523809523809523</x:v>
      </x:c>
      <x:c r="Q87" s="26" t="str">
        <x:f>IF(COUNT(J87:N87)=5,"Full","Partial")</x:f>
        <x:v>Full</x:v>
      </x:c>
      <x:c r="R87" s="26" t="str">
        <x:v>https://www.transfermarkt.com/sweden/kader/verein/3557/saison_id/2026</x:v>
      </x:c>
      <x:c r="S87" s="26" t="str">
        <x:v>FBref</x:v>
      </x:c>
      <x:c r="T87" s="26" t="str">
        <x:v>https://fbref.com/en/search/search.fcgi?search=Victor+Lindel%C3%B6f</x:v>
      </x:c>
      <x:c r="U87" s="26"/>
    </x:row>
    <x:row r="88">
      <x:c r="A88" s="26" t="str">
        <x:v>Sweden</x:v>
      </x:c>
      <x:c r="B88" s="26" t="str">
        <x:v>Hjalmar Ekdal</x:v>
      </x:c>
      <x:c r="C88" s="26" t="str">
        <x:v>Centre-Back</x:v>
      </x:c>
      <x:c r="D88" s="26" t="str">
        <x:v>DF</x:v>
      </x:c>
      <x:c r="E88" s="28" t="n">
        <x:v>27</x:v>
      </x:c>
      <x:c r="F88" s="30" t="n">
        <x:v>5</x:v>
      </x:c>
      <x:c r="G88" s="26" t="str">
        <x:v>2025/26</x:v>
      </x:c>
      <x:c r="H88" s="26" t="str">
        <x:v>Premier League</x:v>
      </x:c>
      <x:c r="I88" s="26" t="str">
        <x:v>Burnley</x:v>
      </x:c>
      <x:c r="J88" s="28" t="n">
        <x:v>19</x:v>
      </x:c>
      <x:c r="K88" s="28" t="n">
        <x:v>17</x:v>
      </x:c>
      <x:c r="L88" s="28" t="n">
        <x:v>1539</x:v>
      </x:c>
      <x:c r="M88" s="28" t="n">
        <x:v>0</x:v>
      </x:c>
      <x:c r="N88" s="28" t="n">
        <x:v>0</x:v>
      </x:c>
      <x:c r="O88" s="28" t="n">
        <x:f>IF(COUNT(M88:N88)&lt;2,"",SUM(M88:N88))</x:f>
        <x:v>0</x:v>
      </x:c>
      <x:c r="P88" s="32" t="n">
        <x:f>IF(OR(COUNT(L88)=0,L88=0,COUNT(O88)=0),"",O88*90/L88)</x:f>
        <x:v>0</x:v>
      </x:c>
      <x:c r="Q88" s="26" t="str">
        <x:f>IF(COUNT(J88:N88)=5,"Full","Partial")</x:f>
        <x:v>Full</x:v>
      </x:c>
      <x:c r="R88" s="26" t="str">
        <x:v>https://www.transfermarkt.com/sweden/kader/verein/3557/saison_id/2026</x:v>
      </x:c>
      <x:c r="S88" s="26" t="str">
        <x:v>FBref</x:v>
      </x:c>
      <x:c r="T88" s="26" t="str">
        <x:v>https://fbref.com/en/search/search.fcgi?search=Hjalmar+Ekdal</x:v>
      </x:c>
      <x:c r="U88" s="26"/>
    </x:row>
    <x:row r="89">
      <x:c r="A89" s="26" t="str">
        <x:v>Sweden</x:v>
      </x:c>
      <x:c r="B89" s="26" t="str">
        <x:v>Eric Smith</x:v>
      </x:c>
      <x:c r="C89" s="26" t="str">
        <x:v>Centre-Back</x:v>
      </x:c>
      <x:c r="D89" s="26" t="str">
        <x:v>DF</x:v>
      </x:c>
      <x:c r="E89" s="28" t="n">
        <x:v>29</x:v>
      </x:c>
      <x:c r="F89" s="30" t="n">
        <x:v>5</x:v>
      </x:c>
      <x:c r="G89" s="26" t="str">
        <x:v>2025/26</x:v>
      </x:c>
      <x:c r="H89" s="26" t="str">
        <x:v>Bundesliga</x:v>
      </x:c>
      <x:c r="I89" s="26" t="str">
        <x:v>St. Pauli</x:v>
      </x:c>
      <x:c r="J89" s="28" t="n">
        <x:v>27</x:v>
      </x:c>
      <x:c r="K89" s="28" t="n">
        <x:v>26</x:v>
      </x:c>
      <x:c r="L89" s="28" t="n">
        <x:v>2313</x:v>
      </x:c>
      <x:c r="M89" s="28" t="n">
        <x:v>2</x:v>
      </x:c>
      <x:c r="N89" s="28" t="n">
        <x:v>2</x:v>
      </x:c>
      <x:c r="O89" s="28" t="n">
        <x:f>IF(COUNT(M89:N89)&lt;2,"",SUM(M89:N89))</x:f>
        <x:v>4</x:v>
      </x:c>
      <x:c r="P89" s="32" t="n">
        <x:f>IF(OR(COUNT(L89)=0,L89=0,COUNT(O89)=0),"",O89*90/L89)</x:f>
        <x:v>0.1556420233463035</x:v>
      </x:c>
      <x:c r="Q89" s="26" t="str">
        <x:f>IF(COUNT(J89:N89)=5,"Full","Partial")</x:f>
        <x:v>Full</x:v>
      </x:c>
      <x:c r="R89" s="26" t="str">
        <x:v>https://www.transfermarkt.com/sweden/kader/verein/3557/saison_id/2026</x:v>
      </x:c>
      <x:c r="S89" s="26" t="str">
        <x:v>FBref</x:v>
      </x:c>
      <x:c r="T89" s="26" t="str">
        <x:v>https://fbref.com/en/search/search.fcgi?search=Eric+Smith</x:v>
      </x:c>
      <x:c r="U89" s="26"/>
    </x:row>
    <x:row r="90">
      <x:c r="A90" s="26" t="str">
        <x:v>Sweden</x:v>
      </x:c>
      <x:c r="B90" s="26" t="str">
        <x:v>Carl Starfelt</x:v>
      </x:c>
      <x:c r="C90" s="26" t="str">
        <x:v>Centre-Back</x:v>
      </x:c>
      <x:c r="D90" s="26" t="str">
        <x:v>DF</x:v>
      </x:c>
      <x:c r="E90" s="28" t="n">
        <x:v>31</x:v>
      </x:c>
      <x:c r="F90" s="30" t="n">
        <x:v>4.5</x:v>
      </x:c>
      <x:c r="G90" s="26" t="str">
        <x:v>2025/26</x:v>
      </x:c>
      <x:c r="H90" s="26" t="str">
        <x:v>La Liga</x:v>
      </x:c>
      <x:c r="I90" s="26" t="str">
        <x:v>Celta Vigo</x:v>
      </x:c>
      <x:c r="J90" s="28" t="n">
        <x:v>19</x:v>
      </x:c>
      <x:c r="K90" s="28" t="n">
        <x:v>17</x:v>
      </x:c>
      <x:c r="L90" s="28" t="n">
        <x:v>1492</x:v>
      </x:c>
      <x:c r="M90" s="28" t="n">
        <x:v>0</x:v>
      </x:c>
      <x:c r="N90" s="28" t="n">
        <x:v>0</x:v>
      </x:c>
      <x:c r="O90" s="28" t="n">
        <x:f>IF(COUNT(M90:N90)&lt;2,"",SUM(M90:N90))</x:f>
        <x:v>0</x:v>
      </x:c>
      <x:c r="P90" s="32" t="n">
        <x:f>IF(OR(COUNT(L90)=0,L90=0,COUNT(O90)=0),"",O90*90/L90)</x:f>
        <x:v>0</x:v>
      </x:c>
      <x:c r="Q90" s="26" t="str">
        <x:f>IF(COUNT(J90:N90)=5,"Full","Partial")</x:f>
        <x:v>Full</x:v>
      </x:c>
      <x:c r="R90" s="26" t="str">
        <x:v>https://www.transfermarkt.com/sweden/kader/verein/3557/saison_id/2026</x:v>
      </x:c>
      <x:c r="S90" s="26" t="str">
        <x:v>FBref</x:v>
      </x:c>
      <x:c r="T90" s="26" t="str">
        <x:v>https://fbref.com/en/search/search.fcgi?search=Carl+Starfelt</x:v>
      </x:c>
      <x:c r="U90" s="26"/>
    </x:row>
    <x:row r="91">
      <x:c r="A91" s="26" t="str">
        <x:v>Sweden</x:v>
      </x:c>
      <x:c r="B91" s="26" t="str">
        <x:v>Daniel Svensson</x:v>
      </x:c>
      <x:c r="C91" s="26" t="str">
        <x:v>Left-Back</x:v>
      </x:c>
      <x:c r="D91" s="26" t="str">
        <x:v>DF</x:v>
      </x:c>
      <x:c r="E91" s="28" t="n">
        <x:v>24</x:v>
      </x:c>
      <x:c r="F91" s="30" t="n">
        <x:v>22</x:v>
      </x:c>
      <x:c r="G91" s="26" t="str">
        <x:v>2025/26</x:v>
      </x:c>
      <x:c r="H91" s="26" t="str">
        <x:v>Bundesliga</x:v>
      </x:c>
      <x:c r="I91" s="26" t="str">
        <x:v>Borussia Dortmund</x:v>
      </x:c>
      <x:c r="J91" s="28" t="n">
        <x:v>33</x:v>
      </x:c>
      <x:c r="K91" s="28" t="n">
        <x:v>27</x:v>
      </x:c>
      <x:c r="L91" s="28" t="n">
        <x:v>2452</x:v>
      </x:c>
      <x:c r="M91" s="28" t="n">
        <x:v>2</x:v>
      </x:c>
      <x:c r="N91" s="28" t="n">
        <x:v>2</x:v>
      </x:c>
      <x:c r="O91" s="28" t="n">
        <x:f>IF(COUNT(M91:N91)&lt;2,"",SUM(M91:N91))</x:f>
        <x:v>4</x:v>
      </x:c>
      <x:c r="P91" s="32" t="n">
        <x:f>IF(OR(COUNT(L91)=0,L91=0,COUNT(O91)=0),"",O91*90/L91)</x:f>
        <x:v>0.1468189233278956</x:v>
      </x:c>
      <x:c r="Q91" s="26" t="str">
        <x:f>IF(COUNT(J91:N91)=5,"Full","Partial")</x:f>
        <x:v>Full</x:v>
      </x:c>
      <x:c r="R91" s="26" t="str">
        <x:v>https://www.transfermarkt.com/sweden/kader/verein/3557/saison_id/2026</x:v>
      </x:c>
      <x:c r="S91" s="26" t="str">
        <x:v>FBref</x:v>
      </x:c>
      <x:c r="T91" s="26" t="str">
        <x:v>https://fbref.com/en/search/search.fcgi?search=Daniel+Svensson</x:v>
      </x:c>
      <x:c r="U91" s="26"/>
    </x:row>
    <x:row r="92">
      <x:c r="A92" s="26" t="str">
        <x:v>Sweden</x:v>
      </x:c>
      <x:c r="B92" s="26" t="str">
        <x:v>Gabriel Gudmundsson</x:v>
      </x:c>
      <x:c r="C92" s="26" t="str">
        <x:v>Left-Back</x:v>
      </x:c>
      <x:c r="D92" s="26" t="str">
        <x:v>DF</x:v>
      </x:c>
      <x:c r="E92" s="28" t="n">
        <x:v>27</x:v>
      </x:c>
      <x:c r="F92" s="30" t="n">
        <x:v>20</x:v>
      </x:c>
      <x:c r="G92" s="26" t="str">
        <x:v>2025/26</x:v>
      </x:c>
      <x:c r="H92" s="26" t="str">
        <x:v>Premier League</x:v>
      </x:c>
      <x:c r="I92" s="26" t="str">
        <x:v>Leeds United</x:v>
      </x:c>
      <x:c r="J92" s="28" t="n">
        <x:v>32</x:v>
      </x:c>
      <x:c r="K92" s="28" t="n">
        <x:v>31</x:v>
      </x:c>
      <x:c r="L92" s="28" t="n">
        <x:v>2640</x:v>
      </x:c>
      <x:c r="M92" s="28" t="n">
        <x:v>0</x:v>
      </x:c>
      <x:c r="N92" s="28" t="n">
        <x:v>0</x:v>
      </x:c>
      <x:c r="O92" s="28" t="n">
        <x:f>IF(COUNT(M92:N92)&lt;2,"",SUM(M92:N92))</x:f>
        <x:v>0</x:v>
      </x:c>
      <x:c r="P92" s="32" t="n">
        <x:f>IF(OR(COUNT(L92)=0,L92=0,COUNT(O92)=0),"",O92*90/L92)</x:f>
        <x:v>0</x:v>
      </x:c>
      <x:c r="Q92" s="26" t="str">
        <x:f>IF(COUNT(J92:N92)=5,"Full","Partial")</x:f>
        <x:v>Full</x:v>
      </x:c>
      <x:c r="R92" s="26" t="str">
        <x:v>https://www.transfermarkt.com/sweden/kader/verein/3557/saison_id/2026</x:v>
      </x:c>
      <x:c r="S92" s="26" t="str">
        <x:v>FBref</x:v>
      </x:c>
      <x:c r="T92" s="26" t="str">
        <x:v>https://fbref.com/en/search/search.fcgi?search=Gabriel+Gudmundsson</x:v>
      </x:c>
      <x:c r="U92" s="26"/>
    </x:row>
    <x:row r="93">
      <x:c r="A93" s="26" t="str">
        <x:v>Sweden</x:v>
      </x:c>
      <x:c r="B93" s="26" t="str">
        <x:v>Ken Sema</x:v>
      </x:c>
      <x:c r="C93" s="26" t="str">
        <x:v>Left-Back</x:v>
      </x:c>
      <x:c r="D93" s="26" t="str">
        <x:v>DF</x:v>
      </x:c>
      <x:c r="E93" s="28" t="n">
        <x:v>32</x:v>
      </x:c>
      <x:c r="F93" s="30" t="n">
        <x:v>0.8</x:v>
      </x:c>
      <x:c r="G93" s="26" t="str">
        <x:v>2025/26</x:v>
      </x:c>
      <x:c r="H93" s="26" t="str">
        <x:v>Cypriot First Division</x:v>
      </x:c>
      <x:c r="I93" s="26" t="str">
        <x:v>Pafos</x:v>
      </x:c>
      <x:c r="J93" s="28" t="n">
        <x:v>23</x:v>
      </x:c>
      <x:c r="K93" s="28" t="n">
        <x:v>12</x:v>
      </x:c>
      <x:c r="L93" s="28" t="n">
        <x:v>1094</x:v>
      </x:c>
      <x:c r="M93" s="28" t="n">
        <x:v>0</x:v>
      </x:c>
      <x:c r="N93" s="28" t="n">
        <x:v>0</x:v>
      </x:c>
      <x:c r="O93" s="28" t="n">
        <x:f>IF(COUNT(M93:N93)&lt;2,"",SUM(M93:N93))</x:f>
        <x:v>0</x:v>
      </x:c>
      <x:c r="P93" s="32" t="n">
        <x:f>IF(OR(COUNT(L93)=0,L93=0,COUNT(O93)=0),"",O93*90/L93)</x:f>
        <x:v>0</x:v>
      </x:c>
      <x:c r="Q93" s="26" t="str">
        <x:f>IF(COUNT(J93:N93)=5,"Full","Partial")</x:f>
        <x:v>Full</x:v>
      </x:c>
      <x:c r="R93" s="26" t="str">
        <x:v>https://www.transfermarkt.com/sweden/kader/verein/3557/saison_id/2026</x:v>
      </x:c>
      <x:c r="S93" s="26" t="str">
        <x:v>Transfermarkt</x:v>
      </x:c>
      <x:c r="T93" s="26" t="str">
        <x:v>https://www.transfermarkt.com/schnellsuche/ergebnis/schnellsuche?query=Ken+Sema</x:v>
      </x:c>
      <x:c r="U93" s="26"/>
    </x:row>
    <x:row r="94">
      <x:c r="A94" s="26" t="str">
        <x:v>Sweden</x:v>
      </x:c>
      <x:c r="B94" s="26" t="str">
        <x:v>Jesper Karlström</x:v>
      </x:c>
      <x:c r="C94" s="26" t="str">
        <x:v>Defensive Midfield</x:v>
      </x:c>
      <x:c r="D94" s="26" t="str">
        <x:v>MF</x:v>
      </x:c>
      <x:c r="E94" s="28" t="n">
        <x:v>31</x:v>
      </x:c>
      <x:c r="F94" s="30" t="n">
        <x:v>4</x:v>
      </x:c>
      <x:c r="G94" s="26" t="str">
        <x:v>2025/26</x:v>
      </x:c>
      <x:c r="H94" s="26" t="str">
        <x:v>Serie A</x:v>
      </x:c>
      <x:c r="I94" s="26" t="str">
        <x:v>Udinese</x:v>
      </x:c>
      <x:c r="J94" s="28" t="n">
        <x:v>36</x:v>
      </x:c>
      <x:c r="K94" s="28" t="n">
        <x:v>36</x:v>
      </x:c>
      <x:c r="L94" s="28" t="n">
        <x:v>3153</x:v>
      </x:c>
      <x:c r="M94" s="28" t="n">
        <x:v>1</x:v>
      </x:c>
      <x:c r="N94" s="28" t="n">
        <x:v>0</x:v>
      </x:c>
      <x:c r="O94" s="28" t="n">
        <x:f>IF(COUNT(M94:N94)&lt;2,"",SUM(M94:N94))</x:f>
        <x:v>1</x:v>
      </x:c>
      <x:c r="P94" s="32" t="n">
        <x:f>IF(OR(COUNT(L94)=0,L94=0,COUNT(O94)=0),"",O94*90/L94)</x:f>
        <x:v>0.028544243577545196</x:v>
      </x:c>
      <x:c r="Q94" s="26" t="str">
        <x:f>IF(COUNT(J94:N94)=5,"Full","Partial")</x:f>
        <x:v>Full</x:v>
      </x:c>
      <x:c r="R94" s="26" t="str">
        <x:v>https://www.transfermarkt.com/sweden/kader/verein/3557/saison_id/2026</x:v>
      </x:c>
      <x:c r="S94" s="26" t="str">
        <x:v>FBref</x:v>
      </x:c>
      <x:c r="T94" s="26" t="str">
        <x:v>https://fbref.com/en/search/search.fcgi?search=Jesper+Karlstr%C3%B6m</x:v>
      </x:c>
      <x:c r="U94" s="26"/>
    </x:row>
    <x:row r="95">
      <x:c r="A95" s="26" t="str">
        <x:v>Sweden</x:v>
      </x:c>
      <x:c r="B95" s="26" t="str">
        <x:v>Yasin Ayari</x:v>
      </x:c>
      <x:c r="C95" s="26" t="str">
        <x:v>Central Midfield</x:v>
      </x:c>
      <x:c r="D95" s="26" t="str">
        <x:v>MF</x:v>
      </x:c>
      <x:c r="E95" s="28" t="n">
        <x:v>22</x:v>
      </x:c>
      <x:c r="F95" s="30" t="n">
        <x:v>40</x:v>
      </x:c>
      <x:c r="G95" s="26" t="str">
        <x:v>2025/26</x:v>
      </x:c>
      <x:c r="H95" s="26" t="str">
        <x:v>Premier League</x:v>
      </x:c>
      <x:c r="I95" s="26" t="str">
        <x:v>Brighton</x:v>
      </x:c>
      <x:c r="J95" s="28" t="n">
        <x:v>29</x:v>
      </x:c>
      <x:c r="K95" s="28"/>
      <x:c r="L95" s="28" t="n">
        <x:v>1925</x:v>
      </x:c>
      <x:c r="M95" s="28" t="n">
        <x:v>3</x:v>
      </x:c>
      <x:c r="N95" s="28" t="n">
        <x:v>0</x:v>
      </x:c>
      <x:c r="O95" s="28" t="n">
        <x:f>IF(COUNT(M95:N95)&lt;2,"",SUM(M95:N95))</x:f>
        <x:v>3</x:v>
      </x:c>
      <x:c r="P95" s="32" t="n">
        <x:f>IF(OR(COUNT(L95)=0,L95=0,COUNT(O95)=0),"",O95*90/L95)</x:f>
        <x:v>0.14025974025974025</x:v>
      </x:c>
      <x:c r="Q95" s="26" t="str">
        <x:f>IF(COUNT(J95:N95)=5,"Full","Partial")</x:f>
        <x:v>Partial</x:v>
      </x:c>
      <x:c r="R95" s="26" t="str">
        <x:v>https://www.transfermarkt.com/sweden/kader/verein/3557/saison_id/2026</x:v>
      </x:c>
      <x:c r="S95" s="26" t="str">
        <x:v>FBref</x:v>
      </x:c>
      <x:c r="T95" s="26" t="str">
        <x:v>https://fbref.com/en/search/search.fcgi?search=Yasin+Ayari</x:v>
      </x:c>
      <x:c r="U95" s="26" t="str">
        <x:v>Starts not reliably verified in source snapshot.</x:v>
      </x:c>
    </x:row>
    <x:row r="96">
      <x:c r="A96" s="26" t="str">
        <x:v>Sweden</x:v>
      </x:c>
      <x:c r="B96" s="26" t="str">
        <x:v>Lucas Bergvall</x:v>
      </x:c>
      <x:c r="C96" s="26" t="str">
        <x:v>Central Midfield</x:v>
      </x:c>
      <x:c r="D96" s="26" t="str">
        <x:v>MF</x:v>
      </x:c>
      <x:c r="E96" s="28" t="n">
        <x:v>20</x:v>
      </x:c>
      <x:c r="F96" s="30" t="n">
        <x:v>35</x:v>
      </x:c>
      <x:c r="G96" s="26" t="str">
        <x:v>2025/26</x:v>
      </x:c>
      <x:c r="H96" s="26" t="str">
        <x:v>Premier League</x:v>
      </x:c>
      <x:c r="I96" s="26" t="str">
        <x:v>Tottenham Hotspur</x:v>
      </x:c>
      <x:c r="J96" s="28" t="n">
        <x:v>23</x:v>
      </x:c>
      <x:c r="K96" s="28"/>
      <x:c r="L96" s="28" t="n">
        <x:v>965</x:v>
      </x:c>
      <x:c r="M96" s="28" t="n">
        <x:v>1</x:v>
      </x:c>
      <x:c r="N96" s="28" t="n">
        <x:v>3</x:v>
      </x:c>
      <x:c r="O96" s="28" t="n">
        <x:f>IF(COUNT(M96:N96)&lt;2,"",SUM(M96:N96))</x:f>
        <x:v>4</x:v>
      </x:c>
      <x:c r="P96" s="32" t="n">
        <x:f>IF(OR(COUNT(L96)=0,L96=0,COUNT(O96)=0),"",O96*90/L96)</x:f>
        <x:v>0.37305699481865284</x:v>
      </x:c>
      <x:c r="Q96" s="26" t="str">
        <x:f>IF(COUNT(J96:N96)=5,"Full","Partial")</x:f>
        <x:v>Partial</x:v>
      </x:c>
      <x:c r="R96" s="26" t="str">
        <x:v>https://www.transfermarkt.com/sweden/kader/verein/3557/saison_id/2026</x:v>
      </x:c>
      <x:c r="S96" s="26" t="str">
        <x:v>FBref</x:v>
      </x:c>
      <x:c r="T96" s="26" t="str">
        <x:v>https://fbref.com/en/players/a109e5c8/</x:v>
      </x:c>
      <x:c r="U96" s="26" t="str">
        <x:v>Starts not reliably verified in source snapshot.</x:v>
      </x:c>
    </x:row>
    <x:row r="97">
      <x:c r="A97" s="26" t="str">
        <x:v>Sweden</x:v>
      </x:c>
      <x:c r="B97" s="26" t="str">
        <x:v>Mattias Svanberg</x:v>
      </x:c>
      <x:c r="C97" s="26" t="str">
        <x:v>Central Midfield</x:v>
      </x:c>
      <x:c r="D97" s="26" t="str">
        <x:v>MF</x:v>
      </x:c>
      <x:c r="E97" s="28" t="n">
        <x:v>27</x:v>
      </x:c>
      <x:c r="F97" s="30" t="n">
        <x:v>8</x:v>
      </x:c>
      <x:c r="G97" s="26" t="str">
        <x:v>2025/26</x:v>
      </x:c>
      <x:c r="H97" s="26" t="str">
        <x:v>Bundesliga</x:v>
      </x:c>
      <x:c r="I97" s="26" t="str">
        <x:v>Wolfsburg</x:v>
      </x:c>
      <x:c r="J97" s="28" t="n">
        <x:v>24</x:v>
      </x:c>
      <x:c r="K97" s="28"/>
      <x:c r="L97" s="28" t="n">
        <x:v>861</x:v>
      </x:c>
      <x:c r="M97" s="28" t="n">
        <x:v>3</x:v>
      </x:c>
      <x:c r="N97" s="28" t="n">
        <x:v>1</x:v>
      </x:c>
      <x:c r="O97" s="28" t="n">
        <x:f>IF(COUNT(M97:N97)&lt;2,"",SUM(M97:N97))</x:f>
        <x:v>4</x:v>
      </x:c>
      <x:c r="P97" s="32" t="n">
        <x:f>IF(OR(COUNT(L97)=0,L97=0,COUNT(O97)=0),"",O97*90/L97)</x:f>
        <x:v>0.4181184668989547</x:v>
      </x:c>
      <x:c r="Q97" s="26" t="str">
        <x:f>IF(COUNT(J97:N97)=5,"Full","Partial")</x:f>
        <x:v>Partial</x:v>
      </x:c>
      <x:c r="R97" s="26" t="str">
        <x:v>https://www.transfermarkt.com/sweden/kader/verein/3557/saison_id/2026</x:v>
      </x:c>
      <x:c r="S97" s="26" t="str">
        <x:v>FBref</x:v>
      </x:c>
      <x:c r="T97" s="26" t="str">
        <x:v>https://fbref.com/en/players/92d83c27/</x:v>
      </x:c>
      <x:c r="U97" s="26" t="str">
        <x:v>Starts not reliably verified in source snapshot.</x:v>
      </x:c>
    </x:row>
    <x:row r="98">
      <x:c r="A98" s="26" t="str">
        <x:v>Sweden</x:v>
      </x:c>
      <x:c r="B98" s="26" t="str">
        <x:v>Besfort Zeneli</x:v>
      </x:c>
      <x:c r="C98" s="26" t="str">
        <x:v>Central Midfield</x:v>
      </x:c>
      <x:c r="D98" s="26" t="str">
        <x:v>MF</x:v>
      </x:c>
      <x:c r="E98" s="28" t="n">
        <x:v>23</x:v>
      </x:c>
      <x:c r="F98" s="30" t="n">
        <x:v>6</x:v>
      </x:c>
      <x:c r="G98" s="26" t="str">
        <x:v>2025 + 2025/26</x:v>
      </x:c>
      <x:c r="H98" s="26" t="str">
        <x:v>Allsvenskan + Belgian Pro League</x:v>
      </x:c>
      <x:c r="I98" s="26" t="str">
        <x:v>Elfsborg + Union Saint-Gilloise</x:v>
      </x:c>
      <x:c r="J98" s="28" t="n">
        <x:v>42</x:v>
      </x:c>
      <x:c r="K98" s="28"/>
      <x:c r="L98" s="28"/>
      <x:c r="M98" s="28" t="n">
        <x:v>5</x:v>
      </x:c>
      <x:c r="N98" s="28" t="n">
        <x:v>13</x:v>
      </x:c>
      <x:c r="O98" s="28" t="n">
        <x:f>IF(COUNT(M98:N98)&lt;2,"",SUM(M98:N98))</x:f>
        <x:v>18</x:v>
      </x:c>
      <x:c r="P98" s="32" t="str">
        <x:f>IF(OR(COUNT(L98)=0,L98=0,COUNT(O98)=0),"",O98*90/L98)</x:f>
      </x:c>
      <x:c r="Q98" s="26" t="str">
        <x:f>IF(COUNT(J98:N98)=5,"Full","Partial")</x:f>
        <x:v>Partial</x:v>
      </x:c>
      <x:c r="R98" s="26" t="str">
        <x:v>https://www.transfermarkt.com/sweden/kader/verein/3557/saison_id/2026</x:v>
      </x:c>
      <x:c r="S98" s="26" t="str">
        <x:v>Transfermarkt</x:v>
      </x:c>
      <x:c r="T98" s="26" t="str">
        <x:v>https://www.transfermarkt.com/schnellsuche/ergebnis/schnellsuche?query=Besfort+Zeneli</x:v>
      </x:c>
      <x:c r="U98" s="26" t="str">
        <x:v>Cross-calendar aggregate reported by source; starts/minutes unavailable.</x:v>
      </x:c>
    </x:row>
    <x:row r="99">
      <x:c r="A99" s="26" t="str">
        <x:v>Sweden</x:v>
      </x:c>
      <x:c r="B99" s="26" t="str">
        <x:v>Herman Johansson</x:v>
      </x:c>
      <x:c r="C99" s="26" t="str">
        <x:v>Right Midfield</x:v>
      </x:c>
      <x:c r="D99" s="26" t="str">
        <x:v>MF</x:v>
      </x:c>
      <x:c r="E99" s="28" t="n">
        <x:v>28</x:v>
      </x:c>
      <x:c r="F99" s="30" t="n">
        <x:v>1.8</x:v>
      </x:c>
      <x:c r="G99" s="26" t="str">
        <x:v>2025</x:v>
      </x:c>
      <x:c r="H99" s="26" t="str">
        <x:v>Allsvenskan</x:v>
      </x:c>
      <x:c r="I99" s="26" t="str">
        <x:v>Mjällby</x:v>
      </x:c>
      <x:c r="J99" s="28" t="n">
        <x:v>30</x:v>
      </x:c>
      <x:c r="K99" s="28" t="n">
        <x:v>27</x:v>
      </x:c>
      <x:c r="L99" s="28" t="n">
        <x:v>2288</x:v>
      </x:c>
      <x:c r="M99" s="28" t="n">
        <x:v>7</x:v>
      </x:c>
      <x:c r="N99" s="28" t="n">
        <x:v>8</x:v>
      </x:c>
      <x:c r="O99" s="28" t="n">
        <x:f>IF(COUNT(M99:N99)&lt;2,"",SUM(M99:N99))</x:f>
        <x:v>15</x:v>
      </x:c>
      <x:c r="P99" s="32" t="n">
        <x:f>IF(OR(COUNT(L99)=0,L99=0,COUNT(O99)=0),"",O99*90/L99)</x:f>
        <x:v>0.590034965034965</x:v>
      </x:c>
      <x:c r="Q99" s="26" t="str">
        <x:f>IF(COUNT(J99:N99)=5,"Full","Partial")</x:f>
        <x:v>Full</x:v>
      </x:c>
      <x:c r="R99" s="26" t="str">
        <x:v>https://www.transfermarkt.com/sweden/kader/verein/3557/saison_id/2026</x:v>
      </x:c>
      <x:c r="S99" s="26" t="str">
        <x:v>Opta Analyst</x:v>
      </x:c>
      <x:c r="T99" s="26" t="str">
        <x:v>https://theanalyst.com/players/11718/herman-johansson/career</x:v>
      </x:c>
      <x:c r="U99" s="26"/>
    </x:row>
    <x:row r="100">
      <x:c r="A100" s="26" t="str">
        <x:v>Sweden</x:v>
      </x:c>
      <x:c r="B100" s="26" t="str">
        <x:v>Elliot Stroud</x:v>
      </x:c>
      <x:c r="C100" s="26" t="str">
        <x:v>Left Midfield</x:v>
      </x:c>
      <x:c r="D100" s="26" t="str">
        <x:v>MF</x:v>
      </x:c>
      <x:c r="E100" s="28" t="n">
        <x:v>24</x:v>
      </x:c>
      <x:c r="F100" s="30" t="n">
        <x:v>8</x:v>
      </x:c>
      <x:c r="G100" s="26" t="str">
        <x:v>2025</x:v>
      </x:c>
      <x:c r="H100" s="26" t="str">
        <x:v>Allsvenskan</x:v>
      </x:c>
      <x:c r="I100" s="26" t="str">
        <x:v>Mjällby</x:v>
      </x:c>
      <x:c r="J100" s="28" t="n">
        <x:v>28</x:v>
      </x:c>
      <x:c r="K100" s="28" t="n">
        <x:v>27</x:v>
      </x:c>
      <x:c r="L100" s="28" t="n">
        <x:v>2446</x:v>
      </x:c>
      <x:c r="M100" s="28" t="n">
        <x:v>10</x:v>
      </x:c>
      <x:c r="N100" s="28" t="n">
        <x:v>5</x:v>
      </x:c>
      <x:c r="O100" s="28" t="n">
        <x:f>IF(COUNT(M100:N100)&lt;2,"",SUM(M100:N100))</x:f>
        <x:v>15</x:v>
      </x:c>
      <x:c r="P100" s="32" t="n">
        <x:f>IF(OR(COUNT(L100)=0,L100=0,COUNT(O100)=0),"",O100*90/L100)</x:f>
        <x:v>0.5519215044971382</x:v>
      </x:c>
      <x:c r="Q100" s="26" t="str">
        <x:f>IF(COUNT(J100:N100)=5,"Full","Partial")</x:f>
        <x:v>Full</x:v>
      </x:c>
      <x:c r="R100" s="26" t="str">
        <x:v>https://www.transfermarkt.com/sweden/kader/verein/3557/saison_id/2026</x:v>
      </x:c>
      <x:c r="S100" s="26" t="str">
        <x:v>FBref</x:v>
      </x:c>
      <x:c r="T100" s="26" t="str">
        <x:v>https://fbref.com/en/players/ff11bdec/</x:v>
      </x:c>
      <x:c r="U100" s="26"/>
    </x:row>
    <x:row r="101">
      <x:c r="A101" s="26" t="str">
        <x:v>Sweden</x:v>
      </x:c>
      <x:c r="B101" s="26" t="str">
        <x:v>Benjamin Nygren</x:v>
      </x:c>
      <x:c r="C101" s="26" t="str">
        <x:v>Attacking Midfield</x:v>
      </x:c>
      <x:c r="D101" s="26" t="str">
        <x:v>MF</x:v>
      </x:c>
      <x:c r="E101" s="28" t="n">
        <x:v>25</x:v>
      </x:c>
      <x:c r="F101" s="30" t="n">
        <x:v>14</x:v>
      </x:c>
      <x:c r="G101" s="26" t="str">
        <x:v>2025/26</x:v>
      </x:c>
      <x:c r="H101" s="26" t="str">
        <x:v>Scottish Premiership</x:v>
      </x:c>
      <x:c r="I101" s="26" t="str">
        <x:v>Celtic</x:v>
      </x:c>
      <x:c r="J101" s="28" t="n">
        <x:v>38</x:v>
      </x:c>
      <x:c r="K101" s="28" t="n">
        <x:v>29</x:v>
      </x:c>
      <x:c r="L101" s="28" t="n">
        <x:v>2536</x:v>
      </x:c>
      <x:c r="M101" s="28" t="n">
        <x:v>16</x:v>
      </x:c>
      <x:c r="N101" s="28" t="n">
        <x:v>5</x:v>
      </x:c>
      <x:c r="O101" s="28" t="n">
        <x:f>IF(COUNT(M101:N101)&lt;2,"",SUM(M101:N101))</x:f>
        <x:v>21</x:v>
      </x:c>
      <x:c r="P101" s="32" t="n">
        <x:f>IF(OR(COUNT(L101)=0,L101=0,COUNT(O101)=0),"",O101*90/L101)</x:f>
        <x:v>0.7452681388012619</x:v>
      </x:c>
      <x:c r="Q101" s="26" t="str">
        <x:f>IF(COUNT(J101:N101)=5,"Full","Partial")</x:f>
        <x:v>Full</x:v>
      </x:c>
      <x:c r="R101" s="26" t="str">
        <x:v>https://www.transfermarkt.com/sweden/kader/verein/3557/saison_id/2026</x:v>
      </x:c>
      <x:c r="S101" s="26" t="str">
        <x:v>FBref</x:v>
      </x:c>
      <x:c r="T101" s="26" t="str">
        <x:v>https://fbref.com/en/players/d6ebf67f/</x:v>
      </x:c>
      <x:c r="U101" s="26"/>
    </x:row>
    <x:row r="102">
      <x:c r="A102" s="26" t="str">
        <x:v>Sweden</x:v>
      </x:c>
      <x:c r="B102" s="26" t="str">
        <x:v>Taha Ali</x:v>
      </x:c>
      <x:c r="C102" s="26" t="str">
        <x:v>Left Winger</x:v>
      </x:c>
      <x:c r="D102" s="26" t="str">
        <x:v>FW</x:v>
      </x:c>
      <x:c r="E102" s="28" t="n">
        <x:v>28</x:v>
      </x:c>
      <x:c r="F102" s="30" t="n">
        <x:v>1.5</x:v>
      </x:c>
      <x:c r="G102" s="26" t="str">
        <x:v>2025</x:v>
      </x:c>
      <x:c r="H102" s="26" t="str">
        <x:v>Allsvenskan</x:v>
      </x:c>
      <x:c r="I102" s="26" t="str">
        <x:v>Malmö FF</x:v>
      </x:c>
      <x:c r="J102" s="28" t="n">
        <x:v>26</x:v>
      </x:c>
      <x:c r="K102" s="28" t="n">
        <x:v>14</x:v>
      </x:c>
      <x:c r="L102" s="28" t="n">
        <x:v>1507</x:v>
      </x:c>
      <x:c r="M102" s="28" t="n">
        <x:v>2</x:v>
      </x:c>
      <x:c r="N102" s="28" t="n">
        <x:v>2</x:v>
      </x:c>
      <x:c r="O102" s="28" t="n">
        <x:f>IF(COUNT(M102:N102)&lt;2,"",SUM(M102:N102))</x:f>
        <x:v>4</x:v>
      </x:c>
      <x:c r="P102" s="32" t="n">
        <x:f>IF(OR(COUNT(L102)=0,L102=0,COUNT(O102)=0),"",O102*90/L102)</x:f>
        <x:v>0.23888520238885202</x:v>
      </x:c>
      <x:c r="Q102" s="26" t="str">
        <x:f>IF(COUNT(J102:N102)=5,"Full","Partial")</x:f>
        <x:v>Full</x:v>
      </x:c>
      <x:c r="R102" s="26" t="str">
        <x:v>https://www.transfermarkt.com/sweden/kader/verein/3557/saison_id/2026</x:v>
      </x:c>
      <x:c r="S102" s="26" t="str">
        <x:v>FBref</x:v>
      </x:c>
      <x:c r="T102" s="26" t="str">
        <x:v>https://fbref.com/en/players/da4b8a4e/</x:v>
      </x:c>
      <x:c r="U102" s="26"/>
    </x:row>
    <x:row r="103">
      <x:c r="A103" s="26" t="str">
        <x:v>Sweden</x:v>
      </x:c>
      <x:c r="B103" s="26" t="str">
        <x:v>Anthony Elanga</x:v>
      </x:c>
      <x:c r="C103" s="26" t="str">
        <x:v>Right Winger</x:v>
      </x:c>
      <x:c r="D103" s="26" t="str">
        <x:v>FW</x:v>
      </x:c>
      <x:c r="E103" s="28" t="n">
        <x:v>24</x:v>
      </x:c>
      <x:c r="F103" s="30" t="n">
        <x:v>32</x:v>
      </x:c>
      <x:c r="G103" s="26" t="str">
        <x:v>2025/26</x:v>
      </x:c>
      <x:c r="H103" s="26" t="str">
        <x:v>Premier League</x:v>
      </x:c>
      <x:c r="I103" s="26" t="str">
        <x:v>Newcastle United</x:v>
      </x:c>
      <x:c r="J103" s="28" t="n">
        <x:v>32</x:v>
      </x:c>
      <x:c r="K103" s="28"/>
      <x:c r="L103" s="28" t="n">
        <x:v>1319</x:v>
      </x:c>
      <x:c r="M103" s="28" t="n">
        <x:v>0</x:v>
      </x:c>
      <x:c r="N103" s="28" t="n">
        <x:v>1</x:v>
      </x:c>
      <x:c r="O103" s="28" t="n">
        <x:f>IF(COUNT(M103:N103)&lt;2,"",SUM(M103:N103))</x:f>
        <x:v>1</x:v>
      </x:c>
      <x:c r="P103" s="32" t="n">
        <x:f>IF(OR(COUNT(L103)=0,L103=0,COUNT(O103)=0),"",O103*90/L103)</x:f>
        <x:v>0.06823351023502654</x:v>
      </x:c>
      <x:c r="Q103" s="26" t="str">
        <x:f>IF(COUNT(J103:N103)=5,"Full","Partial")</x:f>
        <x:v>Partial</x:v>
      </x:c>
      <x:c r="R103" s="26" t="str">
        <x:v>https://www.transfermarkt.com/sweden/kader/verein/3557/saison_id/2026</x:v>
      </x:c>
      <x:c r="S103" s="26" t="str">
        <x:v>FBref</x:v>
      </x:c>
      <x:c r="T103" s="26" t="str">
        <x:v>https://fbref.com/en/players/2fba6108/Anthony-Elanga</x:v>
      </x:c>
      <x:c r="U103" s="26" t="str">
        <x:v>Starts not reliably verified in source snapshot.</x:v>
      </x:c>
    </x:row>
    <x:row r="104">
      <x:c r="A104" s="26" t="str">
        <x:v>Sweden</x:v>
      </x:c>
      <x:c r="B104" s="26" t="str">
        <x:v>Alexander Bernhardsson</x:v>
      </x:c>
      <x:c r="C104" s="26" t="str">
        <x:v>Right Winger</x:v>
      </x:c>
      <x:c r="D104" s="26" t="str">
        <x:v>FW</x:v>
      </x:c>
      <x:c r="E104" s="28" t="n">
        <x:v>27</x:v>
      </x:c>
      <x:c r="F104" s="30" t="n">
        <x:v>3</x:v>
      </x:c>
      <x:c r="G104" s="26" t="str">
        <x:v>2025/26</x:v>
      </x:c>
      <x:c r="H104" s="26" t="str">
        <x:v>2. Bundesliga</x:v>
      </x:c>
      <x:c r="I104" s="26" t="str">
        <x:v>Holstein Kiel</x:v>
      </x:c>
      <x:c r="J104" s="28" t="n">
        <x:v>20</x:v>
      </x:c>
      <x:c r="K104" s="28"/>
      <x:c r="L104" s="28"/>
      <x:c r="M104" s="28" t="n">
        <x:v>2</x:v>
      </x:c>
      <x:c r="N104" s="28" t="n">
        <x:v>2</x:v>
      </x:c>
      <x:c r="O104" s="28" t="n">
        <x:f>IF(COUNT(M104:N104)&lt;2,"",SUM(M104:N104))</x:f>
        <x:v>4</x:v>
      </x:c>
      <x:c r="P104" s="32" t="str">
        <x:f>IF(OR(COUNT(L104)=0,L104=0,COUNT(O104)=0),"",O104*90/L104)</x:f>
      </x:c>
      <x:c r="Q104" s="26" t="str">
        <x:f>IF(COUNT(J104:N104)=5,"Full","Partial")</x:f>
        <x:v>Partial</x:v>
      </x:c>
      <x:c r="R104" s="26" t="str">
        <x:v>https://www.transfermarkt.com/sweden/kader/verein/3557/saison_id/2026</x:v>
      </x:c>
      <x:c r="S104" s="26" t="str">
        <x:v>DFB Datencenter</x:v>
      </x:c>
      <x:c r="T104" s="26" t="str">
        <x:v>https://datencenter.dfb.de/personen/alexander-bernhardsson/spieler</x:v>
      </x:c>
      <x:c r="U104" s="26" t="str">
        <x:v>Apps/goals from DFB; starts/minutes absent in retrieved summary.</x:v>
      </x:c>
    </x:row>
    <x:row r="105">
      <x:c r="A105" s="26" t="str">
        <x:v>Sweden</x:v>
      </x:c>
      <x:c r="B105" s="26" t="str">
        <x:v>Alexander Isak</x:v>
      </x:c>
      <x:c r="C105" s="26" t="str">
        <x:v>Centre-Forward</x:v>
      </x:c>
      <x:c r="D105" s="26" t="str">
        <x:v>FW</x:v>
      </x:c>
      <x:c r="E105" s="28" t="n">
        <x:v>26</x:v>
      </x:c>
      <x:c r="F105" s="30" t="n">
        <x:v>85</x:v>
      </x:c>
      <x:c r="G105" s="26" t="str">
        <x:v>2025/26</x:v>
      </x:c>
      <x:c r="H105" s="26" t="str">
        <x:v>Premier League</x:v>
      </x:c>
      <x:c r="I105" s="26" t="str">
        <x:v>Liverpool</x:v>
      </x:c>
      <x:c r="J105" s="28" t="n">
        <x:v>22</x:v>
      </x:c>
      <x:c r="K105" s="28"/>
      <x:c r="L105" s="28"/>
      <x:c r="M105" s="28" t="n">
        <x:v>4</x:v>
      </x:c>
      <x:c r="N105" s="28" t="n">
        <x:v>1</x:v>
      </x:c>
      <x:c r="O105" s="28" t="n">
        <x:f>IF(COUNT(M105:N105)&lt;2,"",SUM(M105:N105))</x:f>
        <x:v>5</x:v>
      </x:c>
      <x:c r="P105" s="32" t="str">
        <x:f>IF(OR(COUNT(L105)=0,L105=0,COUNT(O105)=0),"",O105*90/L105)</x:f>
      </x:c>
      <x:c r="Q105" s="26" t="str">
        <x:f>IF(COUNT(J105:N105)=5,"Full","Partial")</x:f>
        <x:v>Partial</x:v>
      </x:c>
      <x:c r="R105" s="26" t="str">
        <x:v>https://www.transfermarkt.com/sweden/kader/verein/3557/saison_id/2026</x:v>
      </x:c>
      <x:c r="S105" s="26" t="str">
        <x:v>Recent season reports</x:v>
      </x:c>
      <x:c r="T105" s="26" t="str">
        <x:v>https://www.thetimes.com/sport/football/article/alexander-isak-liverpool-premier-league-28dmmmlc9</x:v>
      </x:c>
      <x:c r="U105" s="26" t="str">
        <x:v>Injury-affected season; reports confirm 22 apps, 4 goals, 1 assist.</x:v>
      </x:c>
    </x:row>
    <x:row r="106">
      <x:c r="A106" s="26" t="str">
        <x:v>Sweden</x:v>
      </x:c>
      <x:c r="B106" s="26" t="str">
        <x:v>Viktor Gyökeres</x:v>
      </x:c>
      <x:c r="C106" s="26" t="str">
        <x:v>Centre-Forward</x:v>
      </x:c>
      <x:c r="D106" s="26" t="str">
        <x:v>FW</x:v>
      </x:c>
      <x:c r="E106" s="28" t="n">
        <x:v>28</x:v>
      </x:c>
      <x:c r="F106" s="30" t="n">
        <x:v>65</x:v>
      </x:c>
      <x:c r="G106" s="26" t="str">
        <x:v>2025/26</x:v>
      </x:c>
      <x:c r="H106" s="26" t="str">
        <x:v>Premier League</x:v>
      </x:c>
      <x:c r="I106" s="26" t="str">
        <x:v>Arsenal</x:v>
      </x:c>
      <x:c r="J106" s="28" t="n">
        <x:v>36</x:v>
      </x:c>
      <x:c r="K106" s="28" t="n">
        <x:v>26</x:v>
      </x:c>
      <x:c r="L106" s="28" t="n">
        <x:v>2224</x:v>
      </x:c>
      <x:c r="M106" s="28" t="n">
        <x:v>14</x:v>
      </x:c>
      <x:c r="N106" s="28" t="n">
        <x:v>1</x:v>
      </x:c>
      <x:c r="O106" s="28" t="n">
        <x:f>IF(COUNT(M106:N106)&lt;2,"",SUM(M106:N106))</x:f>
        <x:v>15</x:v>
      </x:c>
      <x:c r="P106" s="32" t="n">
        <x:f>IF(OR(COUNT(L106)=0,L106=0,COUNT(O106)=0),"",O106*90/L106)</x:f>
        <x:v>0.6070143884892086</x:v>
      </x:c>
      <x:c r="Q106" s="26" t="str">
        <x:f>IF(COUNT(J106:N106)=5,"Full","Partial")</x:f>
        <x:v>Full</x:v>
      </x:c>
      <x:c r="R106" s="26" t="str">
        <x:v>https://www.transfermarkt.com/sweden/kader/verein/3557/saison_id/2026</x:v>
      </x:c>
      <x:c r="S106" s="26" t="str">
        <x:v>FBref</x:v>
      </x:c>
      <x:c r="T106" s="26" t="str">
        <x:v>https://fbref.com/en/players/4d5a9185/Viktor-Gyokeres</x:v>
      </x:c>
      <x:c r="U106" s="26"/>
    </x:row>
    <x:row r="107">
      <x:c r="A107" s="26" t="str">
        <x:v>Sweden</x:v>
      </x:c>
      <x:c r="B107" s="26" t="str">
        <x:v>Gustaf Nilsson</x:v>
      </x:c>
      <x:c r="C107" s="26" t="str">
        <x:v>Centre-Forward</x:v>
      </x:c>
      <x:c r="D107" s="26" t="str">
        <x:v>FW</x:v>
      </x:c>
      <x:c r="E107" s="28" t="n">
        <x:v>29</x:v>
      </x:c>
      <x:c r="F107" s="30" t="n">
        <x:v>1.8</x:v>
      </x:c>
      <x:c r="G107" s="26" t="str">
        <x:v>2025/26</x:v>
      </x:c>
      <x:c r="H107" s="26" t="str">
        <x:v>Belgian Pro League</x:v>
      </x:c>
      <x:c r="I107" s="26" t="str">
        <x:v>Club Brugge</x:v>
      </x:c>
      <x:c r="J107" s="28" t="n">
        <x:v>7</x:v>
      </x:c>
      <x:c r="K107" s="28" t="n">
        <x:v>0</x:v>
      </x:c>
      <x:c r="L107" s="28" t="n">
        <x:v>39</x:v>
      </x:c>
      <x:c r="M107" s="28" t="n">
        <x:v>0</x:v>
      </x:c>
      <x:c r="N107" s="28" t="n">
        <x:v>0</x:v>
      </x:c>
      <x:c r="O107" s="28" t="n">
        <x:f>IF(COUNT(M107:N107)&lt;2,"",SUM(M107:N107))</x:f>
        <x:v>0</x:v>
      </x:c>
      <x:c r="P107" s="32" t="n">
        <x:f>IF(OR(COUNT(L107)=0,L107=0,COUNT(O107)=0),"",O107*90/L107)</x:f>
        <x:v>0</x:v>
      </x:c>
      <x:c r="Q107" s="26" t="str">
        <x:f>IF(COUNT(J107:N107)=5,"Full","Partial")</x:f>
        <x:v>Full</x:v>
      </x:c>
      <x:c r="R107" s="26" t="str">
        <x:v>https://www.transfermarkt.com/sweden/kader/verein/3557/saison_id/2026</x:v>
      </x:c>
      <x:c r="S107" s="26" t="str">
        <x:v>Opta Analyst</x:v>
      </x:c>
      <x:c r="T107" s="26" t="str">
        <x:v>https://theanalyst.com/players/8084/gustaf-nilsson/career</x:v>
      </x:c>
      <x:c r="U107" s="26"/>
    </x:row>
  </x:sheetData>
  <x:mergeCells>
    <x:mergeCell ref="A1:U1"/>
    <x:mergeCell ref="A2:U2"/>
  </x:mergeCells>
  <x:conditionalFormatting sqref="F4:F107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{1A51CD73-6141-55C2-515E-6965C4591176}</x14:id>
        </x:ext>
      </x:extLst>
    </x:cfRule>
  </x:conditionalFormatting>
  <x:conditionalFormatting sqref="P4:P10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a1ffee8dfd0421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A51CD73-6141-55C2-515E-6965C4591176}">
            <x14:dataBar gradient="1">
              <x14:cfvo type="min"/>
              <x14:cfvo type="max"/>
              <x14:fillColor rgb="FF4F81BD"/>
            </x14:dataBar>
          </x14:cfRule>
          <xm:sqref>F4:F107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0" hidden="0" customWidth="1"/>
    <x:col min="5" max="5" width="7" hidden="0" customWidth="1"/>
    <x:col min="6" max="6" width="16" hidden="0" customWidth="1"/>
    <x:col min="7" max="7" width="14" hidden="0" customWidth="1"/>
    <x:col min="8" max="8" width="27" hidden="0" customWidth="1"/>
    <x:col min="9" max="9" width="30" hidden="0" customWidth="1"/>
    <x:col min="10" max="10" width="8" hidden="0" customWidth="1"/>
    <x:col min="11" max="11" width="8" hidden="0" customWidth="1"/>
    <x:col min="12" max="12" width="12" hidden="0" customWidth="1"/>
    <x:col min="13" max="13" width="8" hidden="0" customWidth="1"/>
    <x:col min="14" max="14" width="9" hidden="0" customWidth="1"/>
    <x:col min="15" max="15" width="8" hidden="0" customWidth="1"/>
    <x:col min="16" max="16" width="12" hidden="0" customWidth="1"/>
    <x:col min="17" max="17" width="13" hidden="0" customWidth="1"/>
    <x:col min="18" max="18" width="38" hidden="0" customWidth="1"/>
    <x:col min="19" max="19" width="18" hidden="0" customWidth="1"/>
    <x:col min="20" max="20" width="38" hidden="0" customWidth="1"/>
    <x:col min="21" max="21" width="46" hidden="0" customWidth="1"/>
  </x:cols>
  <x:sheetData>
    <x:row r="1" ht="28" customHeight="1">
      <x:c r="A1" s="4" t="str">
        <x:v>日本代表 — 選手データ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2" customHeight="1">
      <x:c r="A2" s="10" t="str">
        <x:v>市場価値と直近リーグ戦スタッツを比較する表示用シートです。選手名・クラブ名・リーグ名は検索互換性のため原表記を維持しています。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36" customHeight="1">
      <x:c r="A3" s="18" t="str">
        <x:v>国</x:v>
      </x:c>
      <x:c r="B3" s="18" t="str">
        <x:v>選手名</x:v>
      </x:c>
      <x:c r="C3" s="18" t="str">
        <x:v>ポジション</x:v>
      </x:c>
      <x:c r="D3" s="18" t="str">
        <x:v>区分</x:v>
      </x:c>
      <x:c r="E3" s="18" t="str">
        <x:v>年齢</x:v>
      </x:c>
      <x:c r="F3" s="18" t="str">
        <x:v>市場価値（百万€）</x:v>
      </x:c>
      <x:c r="G3" s="18" t="str">
        <x:v>対象シーズン</x:v>
      </x:c>
      <x:c r="H3" s="18" t="str">
        <x:v>リーグ</x:v>
      </x:c>
      <x:c r="I3" s="18" t="str">
        <x:v>所属クラブ</x:v>
      </x:c>
      <x:c r="J3" s="18" t="str">
        <x:v>出場</x:v>
      </x:c>
      <x:c r="K3" s="18" t="str">
        <x:v>先発</x:v>
      </x:c>
      <x:c r="L3" s="18" t="str">
        <x:v>出場時間（分）</x:v>
      </x:c>
      <x:c r="M3" s="18" t="str">
        <x:v>得点</x:v>
      </x:c>
      <x:c r="N3" s="18" t="str">
        <x:v>アシスト</x:v>
      </x:c>
      <x:c r="O3" s="18" t="str">
        <x:v>G+A</x:v>
      </x:c>
      <x:c r="P3" s="18" t="str">
        <x:v>90分あたりG+A</x:v>
      </x:c>
      <x:c r="Q3" s="18" t="str">
        <x:v>データ充足度</x:v>
      </x:c>
      <x:c r="R3" s="18" t="str">
        <x:v>市場価値出典URL</x:v>
      </x:c>
      <x:c r="S3" s="18" t="str">
        <x:v>スタッツ出典</x:v>
      </x:c>
      <x:c r="T3" s="18" t="str">
        <x:v>スタッツURL</x:v>
      </x:c>
      <x:c r="U3" s="18" t="str">
        <x:v>備考</x:v>
      </x:c>
    </x:row>
    <x:row r="4">
      <x:c r="A4" s="26" t="str">
        <x:v>日本</x:v>
      </x:c>
      <x:c r="B4" s="26" t="str">
        <x:v>Zion Suzuki</x:v>
      </x:c>
      <x:c r="C4" s="26" t="str">
        <x:v>ゴールキーパー</x:v>
      </x:c>
      <x:c r="D4" s="26" t="str">
        <x:v>GK</x:v>
      </x:c>
      <x:c r="E4" s="28" t="n">
        <x:v>23</x:v>
      </x:c>
      <x:c r="F4" s="30" t="n">
        <x:v>20</x:v>
      </x:c>
      <x:c r="G4" s="26" t="str">
        <x:v>2025/26</x:v>
      </x:c>
      <x:c r="H4" s="26" t="str">
        <x:v>Serie A</x:v>
      </x:c>
      <x:c r="I4" s="26" t="str">
        <x:v>Parma</x:v>
      </x:c>
      <x:c r="J4" s="28" t="n">
        <x:v>20</x:v>
      </x:c>
      <x:c r="K4" s="28" t="n">
        <x:v>20</x:v>
      </x:c>
      <x:c r="L4" s="28" t="n">
        <x:v>1800</x:v>
      </x:c>
      <x:c r="M4" s="28" t="n">
        <x:v>0</x:v>
      </x:c>
      <x:c r="N4" s="28" t="n">
        <x:v>0</x:v>
      </x:c>
      <x:c r="O4" s="28" t="n">
        <x:f>IF(COUNT(M4:N4)&lt;2,"",SUM(M4:N4))</x:f>
        <x:v>0</x:v>
      </x:c>
      <x:c r="P4" s="32" t="n">
        <x:f>IF(OR(COUNT(L4)=0,L4=0,COUNT(O4)=0),"",O4*90/L4)</x:f>
        <x:v>0</x:v>
      </x:c>
      <x:c r="Q4" s="26" t="str">
        <x:v>完全</x:v>
      </x:c>
      <x:c r="R4" s="26" t="str">
        <x:v>https://www.transfermarkt.us/japan/kader/verein/3435/saison_id/2026</x:v>
      </x:c>
      <x:c r="S4" s="26" t="str">
        <x:v>FBref</x:v>
      </x:c>
      <x:c r="T4" s="26" t="str">
        <x:v>https://fbref.com/en/search/search.fcgi?search=Zion+Suzuki</x:v>
      </x:c>
      <x:c r="U4" s="26"/>
    </x:row>
    <x:row r="5">
      <x:c r="A5" s="26" t="str">
        <x:v>日本</x:v>
      </x:c>
      <x:c r="B5" s="26" t="str">
        <x:v>Keisuke Osako</x:v>
      </x:c>
      <x:c r="C5" s="26" t="str">
        <x:v>ゴールキーパー</x:v>
      </x:c>
      <x:c r="D5" s="26" t="str">
        <x:v>GK</x:v>
      </x:c>
      <x:c r="E5" s="28" t="n">
        <x:v>26</x:v>
      </x:c>
      <x:c r="F5" s="30" t="n">
        <x:v>2</x:v>
      </x:c>
      <x:c r="G5" s="26" t="str">
        <x:v>2025</x:v>
      </x:c>
      <x:c r="H5" s="26" t="str">
        <x:v>J1 League</x:v>
      </x:c>
      <x:c r="I5" s="26" t="str">
        <x:v>Sanfrecce Hiroshima</x:v>
      </x:c>
      <x:c r="J5" s="28" t="n">
        <x:v>38</x:v>
      </x:c>
      <x:c r="K5" s="28" t="n">
        <x:v>38</x:v>
      </x:c>
      <x:c r="L5" s="28" t="n">
        <x:v>3420</x:v>
      </x:c>
      <x:c r="M5" s="28" t="n">
        <x:v>0</x:v>
      </x:c>
      <x:c r="N5" s="28" t="n">
        <x:v>0</x:v>
      </x:c>
      <x:c r="O5" s="28" t="n">
        <x:f>IF(COUNT(M5:N5)&lt;2,"",SUM(M5:N5))</x:f>
        <x:v>0</x:v>
      </x:c>
      <x:c r="P5" s="32" t="n">
        <x:f>IF(OR(COUNT(L5)=0,L5=0,COUNT(O5)=0),"",O5*90/L5)</x:f>
        <x:v>0</x:v>
      </x:c>
      <x:c r="Q5" s="26" t="str">
        <x:v>完全</x:v>
      </x:c>
      <x:c r="R5" s="26" t="str">
        <x:v>https://www.transfermarkt.us/japan/kader/verein/3435/saison_id/2026</x:v>
      </x:c>
      <x:c r="S5" s="26" t="str">
        <x:v>FBref</x:v>
      </x:c>
      <x:c r="T5" s="26" t="str">
        <x:v>https://fbref.com/en/search/search.fcgi?search=Keisuke+Osako</x:v>
      </x:c>
      <x:c r="U5" s="26"/>
    </x:row>
    <x:row r="6">
      <x:c r="A6" s="26" t="str">
        <x:v>日本</x:v>
      </x:c>
      <x:c r="B6" s="26" t="str">
        <x:v>Tomoki Hayakawa</x:v>
      </x:c>
      <x:c r="C6" s="26" t="str">
        <x:v>ゴールキーパー</x:v>
      </x:c>
      <x:c r="D6" s="26" t="str">
        <x:v>GK</x:v>
      </x:c>
      <x:c r="E6" s="28" t="n">
        <x:v>27</x:v>
      </x:c>
      <x:c r="F6" s="30" t="n">
        <x:v>2</x:v>
      </x:c>
      <x:c r="G6" s="26" t="str">
        <x:v>2025</x:v>
      </x:c>
      <x:c r="H6" s="26" t="str">
        <x:v>J1 League</x:v>
      </x:c>
      <x:c r="I6" s="26" t="str">
        <x:v>Kashima Antlers</x:v>
      </x:c>
      <x:c r="J6" s="28" t="n">
        <x:v>38</x:v>
      </x:c>
      <x:c r="K6" s="28" t="n">
        <x:v>38</x:v>
      </x:c>
      <x:c r="L6" s="28" t="n">
        <x:v>3420</x:v>
      </x:c>
      <x:c r="M6" s="28" t="n">
        <x:v>0</x:v>
      </x:c>
      <x:c r="N6" s="28" t="n">
        <x:v>1</x:v>
      </x:c>
      <x:c r="O6" s="28" t="n">
        <x:f>IF(COUNT(M6:N6)&lt;2,"",SUM(M6:N6))</x:f>
        <x:v>1</x:v>
      </x:c>
      <x:c r="P6" s="32" t="n">
        <x:f>IF(OR(COUNT(L6)=0,L6=0,COUNT(O6)=0),"",O6*90/L6)</x:f>
        <x:v>0.02631578947368421</x:v>
      </x:c>
      <x:c r="Q6" s="26" t="str">
        <x:v>完全</x:v>
      </x:c>
      <x:c r="R6" s="26" t="str">
        <x:v>https://www.transfermarkt.us/japan/kader/verein/3435/saison_id/2026</x:v>
      </x:c>
      <x:c r="S6" s="26" t="str">
        <x:v>FBref</x:v>
      </x:c>
      <x:c r="T6" s="26" t="str">
        <x:v>https://fbref.com/en/search/search.fcgi?search=Tomoki+Hayakawa</x:v>
      </x:c>
      <x:c r="U6" s="26"/>
    </x:row>
    <x:row r="7">
      <x:c r="A7" s="26" t="str">
        <x:v>日本</x:v>
      </x:c>
      <x:c r="B7" s="26" t="str">
        <x:v>Hiroki Ito</x:v>
      </x:c>
      <x:c r="C7" s="26" t="str">
        <x:v>センターバック</x:v>
      </x:c>
      <x:c r="D7" s="26" t="str">
        <x:v>DF</x:v>
      </x:c>
      <x:c r="E7" s="28" t="n">
        <x:v>27</x:v>
      </x:c>
      <x:c r="F7" s="30" t="n">
        <x:v>18</x:v>
      </x:c>
      <x:c r="G7" s="26" t="str">
        <x:v>2025/26</x:v>
      </x:c>
      <x:c r="H7" s="26" t="str">
        <x:v>Bundesliga</x:v>
      </x:c>
      <x:c r="I7" s="26" t="str">
        <x:v>Bayern Munich</x:v>
      </x:c>
      <x:c r="J7" s="28" t="n">
        <x:v>16</x:v>
      </x:c>
      <x:c r="K7" s="28" t="n">
        <x:v>10</x:v>
      </x:c>
      <x:c r="L7" s="28" t="n">
        <x:v>921</x:v>
      </x:c>
      <x:c r="M7" s="28" t="n">
        <x:v>1</x:v>
      </x:c>
      <x:c r="N7" s="28" t="n">
        <x:v>2</x:v>
      </x:c>
      <x:c r="O7" s="28" t="n">
        <x:f>IF(COUNT(M7:N7)&lt;2,"",SUM(M7:N7))</x:f>
        <x:v>3</x:v>
      </x:c>
      <x:c r="P7" s="32" t="n">
        <x:f>IF(OR(COUNT(L7)=0,L7=0,COUNT(O7)=0),"",O7*90/L7)</x:f>
        <x:v>0.2931596091205212</x:v>
      </x:c>
      <x:c r="Q7" s="26" t="str">
        <x:v>完全</x:v>
      </x:c>
      <x:c r="R7" s="26" t="str">
        <x:v>https://www.transfermarkt.us/japan/kader/verein/3435/saison_id/2026</x:v>
      </x:c>
      <x:c r="S7" s="26" t="str">
        <x:v>FBref</x:v>
      </x:c>
      <x:c r="T7" s="26" t="str">
        <x:v>https://fbref.com/en/search/search.fcgi?search=Hiroki+Ito</x:v>
      </x:c>
      <x:c r="U7" s="26"/>
    </x:row>
    <x:row r="8">
      <x:c r="A8" s="26" t="str">
        <x:v>日本</x:v>
      </x:c>
      <x:c r="B8" s="26" t="str">
        <x:v>Tsuyoshi Watanabe</x:v>
      </x:c>
      <x:c r="C8" s="26" t="str">
        <x:v>センターバック</x:v>
      </x:c>
      <x:c r="D8" s="26" t="str">
        <x:v>DF</x:v>
      </x:c>
      <x:c r="E8" s="28" t="n">
        <x:v>29</x:v>
      </x:c>
      <x:c r="F8" s="30" t="n">
        <x:v>10</x:v>
      </x:c>
      <x:c r="G8" s="26" t="str">
        <x:v>2025/26</x:v>
      </x:c>
      <x:c r="H8" s="26" t="str">
        <x:v>Eredivisie</x:v>
      </x:c>
      <x:c r="I8" s="26" t="str">
        <x:v>Feyenoord</x:v>
      </x:c>
      <x:c r="J8" s="28" t="n">
        <x:v>30</x:v>
      </x:c>
      <x:c r="K8" s="28" t="n">
        <x:v>30</x:v>
      </x:c>
      <x:c r="L8" s="28" t="n">
        <x:v>2637</x:v>
      </x:c>
      <x:c r="M8" s="28" t="n">
        <x:v>2</x:v>
      </x:c>
      <x:c r="N8" s="28" t="n">
        <x:v>0</x:v>
      </x:c>
      <x:c r="O8" s="28" t="n">
        <x:f>IF(COUNT(M8:N8)&lt;2,"",SUM(M8:N8))</x:f>
        <x:v>2</x:v>
      </x:c>
      <x:c r="P8" s="32" t="n">
        <x:f>IF(OR(COUNT(L8)=0,L8=0,COUNT(O8)=0),"",O8*90/L8)</x:f>
        <x:v>0.06825938566552901</x:v>
      </x:c>
      <x:c r="Q8" s="26" t="str">
        <x:v>完全</x:v>
      </x:c>
      <x:c r="R8" s="26" t="str">
        <x:v>https://www.transfermarkt.us/japan/kader/verein/3435/saison_id/2026</x:v>
      </x:c>
      <x:c r="S8" s="26" t="str">
        <x:v>Transfermarkt</x:v>
      </x:c>
      <x:c r="T8" s="26" t="str">
        <x:v>https://www.transfermarkt.com/schnellsuche/ergebnis/schnellsuche?query=Tsuyoshi+Watanabe</x:v>
      </x:c>
      <x:c r="U8" s="26"/>
    </x:row>
    <x:row r="9">
      <x:c r="A9" s="26" t="str">
        <x:v>日本</x:v>
      </x:c>
      <x:c r="B9" s="26" t="str">
        <x:v>Ko Itakura</x:v>
      </x:c>
      <x:c r="C9" s="26" t="str">
        <x:v>センターバック</x:v>
      </x:c>
      <x:c r="D9" s="26" t="str">
        <x:v>DF</x:v>
      </x:c>
      <x:c r="E9" s="28" t="n">
        <x:v>29</x:v>
      </x:c>
      <x:c r="F9" s="30" t="n">
        <x:v>8</x:v>
      </x:c>
      <x:c r="G9" s="26" t="str">
        <x:v>2025/26</x:v>
      </x:c>
      <x:c r="H9" s="26" t="str">
        <x:v>Eredivisie</x:v>
      </x:c>
      <x:c r="I9" s="26" t="str">
        <x:v>Ajax</x:v>
      </x:c>
      <x:c r="J9" s="28" t="n">
        <x:v>19</x:v>
      </x:c>
      <x:c r="K9" s="28" t="n">
        <x:v>16</x:v>
      </x:c>
      <x:c r="L9" s="28" t="n">
        <x:v>1380</x:v>
      </x:c>
      <x:c r="M9" s="28" t="n">
        <x:v>1</x:v>
      </x:c>
      <x:c r="N9" s="28" t="n">
        <x:v>0</x:v>
      </x:c>
      <x:c r="O9" s="28" t="n">
        <x:f>IF(COUNT(M9:N9)&lt;2,"",SUM(M9:N9))</x:f>
        <x:v>1</x:v>
      </x:c>
      <x:c r="P9" s="32" t="n">
        <x:f>IF(OR(COUNT(L9)=0,L9=0,COUNT(O9)=0),"",O9*90/L9)</x:f>
        <x:v>0.06521739130434782</x:v>
      </x:c>
      <x:c r="Q9" s="26" t="str">
        <x:v>完全</x:v>
      </x:c>
      <x:c r="R9" s="26" t="str">
        <x:v>https://www.transfermarkt.us/japan/kader/verein/3435/saison_id/2026</x:v>
      </x:c>
      <x:c r="S9" s="26" t="str">
        <x:v>Transfermarkt</x:v>
      </x:c>
      <x:c r="T9" s="26" t="str">
        <x:v>https://www.transfermarkt.com/schnellsuche/ergebnis/schnellsuche?query=Ko+Itakura</x:v>
      </x:c>
      <x:c r="U9" s="26"/>
    </x:row>
    <x:row r="10">
      <x:c r="A10" s="26" t="str">
        <x:v>日本</x:v>
      </x:c>
      <x:c r="B10" s="26" t="str">
        <x:v>Ayumu Seko</x:v>
      </x:c>
      <x:c r="C10" s="26" t="str">
        <x:v>センターバック</x:v>
      </x:c>
      <x:c r="D10" s="26" t="str">
        <x:v>DF</x:v>
      </x:c>
      <x:c r="E10" s="28" t="n">
        <x:v>26</x:v>
      </x:c>
      <x:c r="F10" s="30" t="n">
        <x:v>5</x:v>
      </x:c>
      <x:c r="G10" s="26" t="str">
        <x:v>2025/26</x:v>
      </x:c>
      <x:c r="H10" s="26" t="str">
        <x:v>Ligue 1</x:v>
      </x:c>
      <x:c r="I10" s="26" t="str">
        <x:v>Le Havre</x:v>
      </x:c>
      <x:c r="J10" s="28" t="n">
        <x:v>30</x:v>
      </x:c>
      <x:c r="K10" s="28" t="n">
        <x:v>29</x:v>
      </x:c>
      <x:c r="L10" s="28" t="n">
        <x:v>2625</x:v>
      </x:c>
      <x:c r="M10" s="28" t="n">
        <x:v>0</x:v>
      </x:c>
      <x:c r="N10" s="28" t="n">
        <x:v>0</x:v>
      </x:c>
      <x:c r="O10" s="28" t="n">
        <x:f>IF(COUNT(M10:N10)&lt;2,"",SUM(M10:N10))</x:f>
        <x:v>0</x:v>
      </x:c>
      <x:c r="P10" s="32" t="n">
        <x:f>IF(OR(COUNT(L10)=0,L10=0,COUNT(O10)=0),"",O10*90/L10)</x:f>
        <x:v>0</x:v>
      </x:c>
      <x:c r="Q10" s="26" t="str">
        <x:v>完全</x:v>
      </x:c>
      <x:c r="R10" s="26" t="str">
        <x:v>https://www.transfermarkt.us/japan/kader/verein/3435/saison_id/2026</x:v>
      </x:c>
      <x:c r="S10" s="26" t="str">
        <x:v>Transfermarkt</x:v>
      </x:c>
      <x:c r="T10" s="26" t="str">
        <x:v>https://www.transfermarkt.com/schnellsuche/ergebnis/schnellsuche?query=Ayumu+Seko</x:v>
      </x:c>
      <x:c r="U10" s="26"/>
    </x:row>
    <x:row r="11">
      <x:c r="A11" s="26" t="str">
        <x:v>日本</x:v>
      </x:c>
      <x:c r="B11" s="26" t="str">
        <x:v>Takehiro Tomiyasu</x:v>
      </x:c>
      <x:c r="C11" s="26" t="str">
        <x:v>センターバック</x:v>
      </x:c>
      <x:c r="D11" s="26" t="str">
        <x:v>DF</x:v>
      </x:c>
      <x:c r="E11" s="28" t="n">
        <x:v>27</x:v>
      </x:c>
      <x:c r="F11" s="30" t="n">
        <x:v>5</x:v>
      </x:c>
      <x:c r="G11" s="26" t="str">
        <x:v>2025/26</x:v>
      </x:c>
      <x:c r="H11" s="26" t="str">
        <x:v>Eredivisie</x:v>
      </x:c>
      <x:c r="I11" s="26" t="str">
        <x:v>Ajax</x:v>
      </x:c>
      <x:c r="J11" s="28" t="n">
        <x:v>9</x:v>
      </x:c>
      <x:c r="K11" s="28" t="n">
        <x:v>2</x:v>
      </x:c>
      <x:c r="L11" s="28" t="n">
        <x:v>236</x:v>
      </x:c>
      <x:c r="M11" s="28" t="n">
        <x:v>0</x:v>
      </x:c>
      <x:c r="N11" s="28" t="n">
        <x:v>1</x:v>
      </x:c>
      <x:c r="O11" s="28" t="n">
        <x:f>IF(COUNT(M11:N11)&lt;2,"",SUM(M11:N11))</x:f>
        <x:v>1</x:v>
      </x:c>
      <x:c r="P11" s="32" t="n">
        <x:f>IF(OR(COUNT(L11)=0,L11=0,COUNT(O11)=0),"",O11*90/L11)</x:f>
        <x:v>0.3813559322033898</x:v>
      </x:c>
      <x:c r="Q11" s="26" t="str">
        <x:v>完全</x:v>
      </x:c>
      <x:c r="R11" s="26" t="str">
        <x:v>https://www.transfermarkt.us/japan/kader/verein/3435/saison_id/2026</x:v>
      </x:c>
      <x:c r="S11" s="26" t="str">
        <x:v>Transfermarkt</x:v>
      </x:c>
      <x:c r="T11" s="26" t="str">
        <x:v>https://www.transfermarkt.com/schnellsuche/ergebnis/schnellsuche?query=Takehiro+Tomiyasu</x:v>
      </x:c>
      <x:c r="U11" s="26"/>
    </x:row>
    <x:row r="12">
      <x:c r="A12" s="26" t="str">
        <x:v>日本</x:v>
      </x:c>
      <x:c r="B12" s="26" t="str">
        <x:v>Junnosuke Suzuki</x:v>
      </x:c>
      <x:c r="C12" s="26" t="str">
        <x:v>センターバック</x:v>
      </x:c>
      <x:c r="D12" s="26" t="str">
        <x:v>DF</x:v>
      </x:c>
      <x:c r="E12" s="28" t="n">
        <x:v>22</x:v>
      </x:c>
      <x:c r="F12" s="30" t="n">
        <x:v>3.5</x:v>
      </x:c>
      <x:c r="G12" s="26" t="str">
        <x:v>2025/26</x:v>
      </x:c>
      <x:c r="H12" s="26" t="str">
        <x:v>Danish Superliga</x:v>
      </x:c>
      <x:c r="I12" s="26" t="str">
        <x:v>FC Copenhagen</x:v>
      </x:c>
      <x:c r="J12" s="28" t="n">
        <x:v>22</x:v>
      </x:c>
      <x:c r="K12" s="28" t="n">
        <x:v>21</x:v>
      </x:c>
      <x:c r="L12" s="28" t="n">
        <x:v>1892</x:v>
      </x:c>
      <x:c r="M12" s="28" t="n">
        <x:v>2</x:v>
      </x:c>
      <x:c r="N12" s="28" t="n">
        <x:v>0</x:v>
      </x:c>
      <x:c r="O12" s="28" t="n">
        <x:f>IF(COUNT(M12:N12)&lt;2,"",SUM(M12:N12))</x:f>
        <x:v>2</x:v>
      </x:c>
      <x:c r="P12" s="32" t="n">
        <x:f>IF(OR(COUNT(L12)=0,L12=0,COUNT(O12)=0),"",O12*90/L12)</x:f>
        <x:v>0.09513742071881606</x:v>
      </x:c>
      <x:c r="Q12" s="26" t="str">
        <x:v>完全</x:v>
      </x:c>
      <x:c r="R12" s="26" t="str">
        <x:v>https://www.transfermarkt.us/japan/kader/verein/3435/saison_id/2026</x:v>
      </x:c>
      <x:c r="S12" s="26" t="str">
        <x:v>Transfermarkt</x:v>
      </x:c>
      <x:c r="T12" s="26" t="str">
        <x:v>https://www.transfermarkt.com/schnellsuche/ergebnis/schnellsuche?query=Junnosuke+Suzuki</x:v>
      </x:c>
      <x:c r="U12" s="26"/>
    </x:row>
    <x:row r="13">
      <x:c r="A13" s="26" t="str">
        <x:v>日本</x:v>
      </x:c>
      <x:c r="B13" s="26" t="str">
        <x:v>Shogo Taniguchi</x:v>
      </x:c>
      <x:c r="C13" s="26" t="str">
        <x:v>センターバック</x:v>
      </x:c>
      <x:c r="D13" s="26" t="str">
        <x:v>DF</x:v>
      </x:c>
      <x:c r="E13" s="28" t="n">
        <x:v>34</x:v>
      </x:c>
      <x:c r="F13" s="30" t="n">
        <x:v>0.75</x:v>
      </x:c>
      <x:c r="G13" s="26" t="str">
        <x:v>2025/26</x:v>
      </x:c>
      <x:c r="H13" s="26" t="str">
        <x:v>Belgian Pro League</x:v>
      </x:c>
      <x:c r="I13" s="26" t="str">
        <x:v>Sint-Truiden</x:v>
      </x:c>
      <x:c r="J13" s="28" t="n">
        <x:v>38</x:v>
      </x:c>
      <x:c r="K13" s="28" t="n">
        <x:v>32</x:v>
      </x:c>
      <x:c r="L13" s="28" t="n">
        <x:v>2955</x:v>
      </x:c>
      <x:c r="M13" s="28" t="n">
        <x:v>1</x:v>
      </x:c>
      <x:c r="N13" s="28" t="n">
        <x:v>1</x:v>
      </x:c>
      <x:c r="O13" s="28" t="n">
        <x:f>IF(COUNT(M13:N13)&lt;2,"",SUM(M13:N13))</x:f>
        <x:v>2</x:v>
      </x:c>
      <x:c r="P13" s="32" t="n">
        <x:f>IF(OR(COUNT(L13)=0,L13=0,COUNT(O13)=0),"",O13*90/L13)</x:f>
        <x:v>0.06091370558375635</x:v>
      </x:c>
      <x:c r="Q13" s="26" t="str">
        <x:v>完全</x:v>
      </x:c>
      <x:c r="R13" s="26" t="str">
        <x:v>https://www.transfermarkt.us/japan/kader/verein/3435/saison_id/2026</x:v>
      </x:c>
      <x:c r="S13" s="26" t="str">
        <x:v>Transfermarkt</x:v>
      </x:c>
      <x:c r="T13" s="26" t="str">
        <x:v>https://www.transfermarkt.com/schnellsuche/ergebnis/schnellsuche?query=Shogo+Taniguchi</x:v>
      </x:c>
      <x:c r="U13" s="26"/>
    </x:row>
    <x:row r="14">
      <x:c r="A14" s="26" t="str">
        <x:v>日本</x:v>
      </x:c>
      <x:c r="B14" s="26" t="str">
        <x:v>Yuto Nagatomo</x:v>
      </x:c>
      <x:c r="C14" s="26" t="str">
        <x:v>左サイドバック</x:v>
      </x:c>
      <x:c r="D14" s="26" t="str">
        <x:v>DF</x:v>
      </x:c>
      <x:c r="E14" s="28" t="n">
        <x:v>39</x:v>
      </x:c>
      <x:c r="F14" s="30" t="n">
        <x:v>0.1</x:v>
      </x:c>
      <x:c r="G14" s="26" t="str">
        <x:v>2025</x:v>
      </x:c>
      <x:c r="H14" s="26" t="str">
        <x:v>J1 League</x:v>
      </x:c>
      <x:c r="I14" s="26" t="str">
        <x:v>FC Tokyo</x:v>
      </x:c>
      <x:c r="J14" s="28" t="n">
        <x:v>27</x:v>
      </x:c>
      <x:c r="K14" s="28" t="n">
        <x:v>19</x:v>
      </x:c>
      <x:c r="L14" s="28" t="n">
        <x:v>1723</x:v>
      </x:c>
      <x:c r="M14" s="28" t="n">
        <x:v>0</x:v>
      </x:c>
      <x:c r="N14" s="28" t="n">
        <x:v>2</x:v>
      </x:c>
      <x:c r="O14" s="28" t="n">
        <x:f>IF(COUNT(M14:N14)&lt;2,"",SUM(M14:N14))</x:f>
        <x:v>2</x:v>
      </x:c>
      <x:c r="P14" s="32" t="n">
        <x:f>IF(OR(COUNT(L14)=0,L14=0,COUNT(O14)=0),"",O14*90/L14)</x:f>
        <x:v>0.1044689495066744</x:v>
      </x:c>
      <x:c r="Q14" s="26" t="str">
        <x:v>完全</x:v>
      </x:c>
      <x:c r="R14" s="26" t="str">
        <x:v>https://www.transfermarkt.us/japan/kader/verein/3435/saison_id/2026</x:v>
      </x:c>
      <x:c r="S14" s="26" t="str">
        <x:v>FBref</x:v>
      </x:c>
      <x:c r="T14" s="26" t="str">
        <x:v>https://fbref.com/en/search/search.fcgi?search=Yuto+Nagatomo</x:v>
      </x:c>
      <x:c r="U14" s="26"/>
    </x:row>
    <x:row r="15">
      <x:c r="A15" s="26" t="str">
        <x:v>日本</x:v>
      </x:c>
      <x:c r="B15" s="26" t="str">
        <x:v>Yukinari Sugawara</x:v>
      </x:c>
      <x:c r="C15" s="26" t="str">
        <x:v>右サイドバック</x:v>
      </x:c>
      <x:c r="D15" s="26" t="str">
        <x:v>DF</x:v>
      </x:c>
      <x:c r="E15" s="28" t="n">
        <x:v>25</x:v>
      </x:c>
      <x:c r="F15" s="30" t="n">
        <x:v>5.5</x:v>
      </x:c>
      <x:c r="G15" s="26" t="str">
        <x:v>2025/26</x:v>
      </x:c>
      <x:c r="H15" s="26" t="str">
        <x:v>Bundesliga + Championship</x:v>
      </x:c>
      <x:c r="I15" s="26" t="str">
        <x:v>Werder Bremen + Southampton</x:v>
      </x:c>
      <x:c r="J15" s="28" t="n">
        <x:v>33</x:v>
      </x:c>
      <x:c r="K15" s="28" t="n">
        <x:v>30</x:v>
      </x:c>
      <x:c r="L15" s="28" t="n">
        <x:v>2502</x:v>
      </x:c>
      <x:c r="M15" s="28" t="n">
        <x:v>0</x:v>
      </x:c>
      <x:c r="N15" s="28" t="n">
        <x:v>6</x:v>
      </x:c>
      <x:c r="O15" s="28" t="n">
        <x:f>IF(COUNT(M15:N15)&lt;2,"",SUM(M15:N15))</x:f>
        <x:v>6</x:v>
      </x:c>
      <x:c r="P15" s="32" t="n">
        <x:f>IF(OR(COUNT(L15)=0,L15=0,COUNT(O15)=0),"",O15*90/L15)</x:f>
        <x:v>0.2158273381294964</x:v>
      </x:c>
      <x:c r="Q15" s="26" t="str">
        <x:v>完全</x:v>
      </x:c>
      <x:c r="R15" s="26" t="str">
        <x:v>https://www.transfermarkt.us/japan/kader/verein/3435/saison_id/2026</x:v>
      </x:c>
      <x:c r="S15" s="26" t="str">
        <x:v>Transfermarkt</x:v>
      </x:c>
      <x:c r="T15" s="26" t="str">
        <x:v>https://www.transfermarkt.com/schnellsuche/ergebnis/schnellsuche?query=Yukinari+Sugawara</x:v>
      </x:c>
      <x:c r="U15" s="26" t="str">
        <x:v>Season aggregate: Werder Bremen 31 apps + Southampton 2 apps.</x:v>
      </x:c>
    </x:row>
    <x:row r="16">
      <x:c r="A16" s="26" t="str">
        <x:v>日本</x:v>
      </x:c>
      <x:c r="B16" s="26" t="str">
        <x:v>Kaishu Sano</x:v>
      </x:c>
      <x:c r="C16" s="26" t="str">
        <x:v>守備的MF</x:v>
      </x:c>
      <x:c r="D16" s="26" t="str">
        <x:v>MF</x:v>
      </x:c>
      <x:c r="E16" s="28" t="n">
        <x:v>25</x:v>
      </x:c>
      <x:c r="F16" s="30" t="n">
        <x:v>40</x:v>
      </x:c>
      <x:c r="G16" s="26" t="str">
        <x:v>2025/26</x:v>
      </x:c>
      <x:c r="H16" s="26" t="str">
        <x:v>Bundesliga</x:v>
      </x:c>
      <x:c r="I16" s="26" t="str">
        <x:v>Mainz 05</x:v>
      </x:c>
      <x:c r="J16" s="28" t="n">
        <x:v>34</x:v>
      </x:c>
      <x:c r="K16" s="28" t="n">
        <x:v>34</x:v>
      </x:c>
      <x:c r="L16" s="28" t="n">
        <x:v>3060</x:v>
      </x:c>
      <x:c r="M16" s="28" t="n">
        <x:v>1</x:v>
      </x:c>
      <x:c r="N16" s="28" t="n">
        <x:v>2</x:v>
      </x:c>
      <x:c r="O16" s="28" t="n">
        <x:f>IF(COUNT(M16:N16)&lt;2,"",SUM(M16:N16))</x:f>
        <x:v>3</x:v>
      </x:c>
      <x:c r="P16" s="32" t="n">
        <x:f>IF(OR(COUNT(L16)=0,L16=0,COUNT(O16)=0),"",O16*90/L16)</x:f>
        <x:v>0.08823529411764706</x:v>
      </x:c>
      <x:c r="Q16" s="26" t="str">
        <x:v>完全</x:v>
      </x:c>
      <x:c r="R16" s="26" t="str">
        <x:v>https://www.transfermarkt.us/japan/kader/verein/3435/saison_id/2026</x:v>
      </x:c>
      <x:c r="S16" s="26" t="str">
        <x:v>FBref</x:v>
      </x:c>
      <x:c r="T16" s="26" t="str">
        <x:v>https://fbref.com/en/search/search.fcgi?search=Kaishu+Sano</x:v>
      </x:c>
      <x:c r="U16" s="26"/>
    </x:row>
    <x:row r="17">
      <x:c r="A17" s="26" t="str">
        <x:v>日本</x:v>
      </x:c>
      <x:c r="B17" s="26" t="str">
        <x:v>Ao Tanaka</x:v>
      </x:c>
      <x:c r="C17" s="26" t="str">
        <x:v>セントラルMF</x:v>
      </x:c>
      <x:c r="D17" s="26" t="str">
        <x:v>MF</x:v>
      </x:c>
      <x:c r="E17" s="28" t="n">
        <x:v>27</x:v>
      </x:c>
      <x:c r="F17" s="30" t="n">
        <x:v>13</x:v>
      </x:c>
      <x:c r="G17" s="26" t="str">
        <x:v>2025/26</x:v>
      </x:c>
      <x:c r="H17" s="26" t="str">
        <x:v>Premier League</x:v>
      </x:c>
      <x:c r="I17" s="26" t="str">
        <x:v>Leeds United</x:v>
      </x:c>
      <x:c r="J17" s="28" t="n">
        <x:v>28</x:v>
      </x:c>
      <x:c r="K17" s="28" t="n">
        <x:v>14</x:v>
      </x:c>
      <x:c r="L17" s="28" t="n">
        <x:v>1316</x:v>
      </x:c>
      <x:c r="M17" s="28" t="n">
        <x:v>2</x:v>
      </x:c>
      <x:c r="N17" s="28" t="n">
        <x:v>0</x:v>
      </x:c>
      <x:c r="O17" s="28" t="n">
        <x:f>IF(COUNT(M17:N17)&lt;2,"",SUM(M17:N17))</x:f>
        <x:v>2</x:v>
      </x:c>
      <x:c r="P17" s="32" t="n">
        <x:f>IF(OR(COUNT(L17)=0,L17=0,COUNT(O17)=0),"",O17*90/L17)</x:f>
        <x:v>0.13677811550151975</x:v>
      </x:c>
      <x:c r="Q17" s="26" t="str">
        <x:v>完全</x:v>
      </x:c>
      <x:c r="R17" s="26" t="str">
        <x:v>https://www.transfermarkt.us/japan/kader/verein/3435/saison_id/2026</x:v>
      </x:c>
      <x:c r="S17" s="26" t="str">
        <x:v>FBref</x:v>
      </x:c>
      <x:c r="T17" s="26" t="str">
        <x:v>https://fbref.com/en/search/search.fcgi?search=Ao+Tanaka</x:v>
      </x:c>
      <x:c r="U17" s="26"/>
    </x:row>
    <x:row r="18">
      <x:c r="A18" s="26" t="str">
        <x:v>日本</x:v>
      </x:c>
      <x:c r="B18" s="26" t="str">
        <x:v>Daichi Kamada</x:v>
      </x:c>
      <x:c r="C18" s="26" t="str">
        <x:v>攻撃的MF</x:v>
      </x:c>
      <x:c r="D18" s="26" t="str">
        <x:v>MF</x:v>
      </x:c>
      <x:c r="E18" s="28" t="n">
        <x:v>29</x:v>
      </x:c>
      <x:c r="F18" s="30" t="n">
        <x:v>10</x:v>
      </x:c>
      <x:c r="G18" s="26" t="str">
        <x:v>2025/26</x:v>
      </x:c>
      <x:c r="H18" s="26" t="str">
        <x:v>Premier League</x:v>
      </x:c>
      <x:c r="I18" s="26" t="str">
        <x:v>Crystal Palace</x:v>
      </x:c>
      <x:c r="J18" s="28" t="n">
        <x:v>28</x:v>
      </x:c>
      <x:c r="K18" s="28" t="n">
        <x:v>22</x:v>
      </x:c>
      <x:c r="L18" s="28" t="n">
        <x:v>1910</x:v>
      </x:c>
      <x:c r="M18" s="28" t="n">
        <x:v>0</x:v>
      </x:c>
      <x:c r="N18" s="28" t="n">
        <x:v>0</x:v>
      </x:c>
      <x:c r="O18" s="28" t="n">
        <x:f>IF(COUNT(M18:N18)&lt;2,"",SUM(M18:N18))</x:f>
        <x:v>0</x:v>
      </x:c>
      <x:c r="P18" s="32" t="n">
        <x:f>IF(OR(COUNT(L18)=0,L18=0,COUNT(O18)=0),"",O18*90/L18)</x:f>
        <x:v>0</x:v>
      </x:c>
      <x:c r="Q18" s="26" t="str">
        <x:v>完全</x:v>
      </x:c>
      <x:c r="R18" s="26" t="str">
        <x:v>https://www.transfermarkt.us/japan/kader/verein/3435/saison_id/2026</x:v>
      </x:c>
      <x:c r="S18" s="26" t="str">
        <x:v>FBref</x:v>
      </x:c>
      <x:c r="T18" s="26" t="str">
        <x:v>https://fbref.com/en/search/search.fcgi?search=Daichi+Kamada</x:v>
      </x:c>
      <x:c r="U18" s="26"/>
    </x:row>
    <x:row r="19">
      <x:c r="A19" s="26" t="str">
        <x:v>日本</x:v>
      </x:c>
      <x:c r="B19" s="26" t="str">
        <x:v>Daizen Maeda</x:v>
      </x:c>
      <x:c r="C19" s="26" t="str">
        <x:v>左ウイング</x:v>
      </x:c>
      <x:c r="D19" s="26" t="str">
        <x:v>FW</x:v>
      </x:c>
      <x:c r="E19" s="28" t="n">
        <x:v>28</x:v>
      </x:c>
      <x:c r="F19" s="30" t="n">
        <x:v>13</x:v>
      </x:c>
      <x:c r="G19" s="26" t="str">
        <x:v>2025/26</x:v>
      </x:c>
      <x:c r="H19" s="26" t="str">
        <x:v>Scottish Premiership</x:v>
      </x:c>
      <x:c r="I19" s="26" t="str">
        <x:v>Celtic</x:v>
      </x:c>
      <x:c r="J19" s="28" t="n">
        <x:v>36</x:v>
      </x:c>
      <x:c r="K19" s="28" t="n">
        <x:v>32</x:v>
      </x:c>
      <x:c r="L19" s="28" t="n">
        <x:v>2833</x:v>
      </x:c>
      <x:c r="M19" s="28" t="n">
        <x:v>14</x:v>
      </x:c>
      <x:c r="N19" s="28" t="n">
        <x:v>6</x:v>
      </x:c>
      <x:c r="O19" s="28" t="n">
        <x:f>IF(COUNT(M19:N19)&lt;2,"",SUM(M19:N19))</x:f>
        <x:v>20</x:v>
      </x:c>
      <x:c r="P19" s="32" t="n">
        <x:f>IF(OR(COUNT(L19)=0,L19=0,COUNT(O19)=0),"",O19*90/L19)</x:f>
        <x:v>0.6353688669255206</x:v>
      </x:c>
      <x:c r="Q19" s="26" t="str">
        <x:v>完全</x:v>
      </x:c>
      <x:c r="R19" s="26" t="str">
        <x:v>https://www.transfermarkt.us/japan/kader/verein/3435/saison_id/2026</x:v>
      </x:c>
      <x:c r="S19" s="26" t="str">
        <x:v>FBref</x:v>
      </x:c>
      <x:c r="T19" s="26" t="str">
        <x:v>https://fbref.com/en/search/search.fcgi?search=Daizen+Maeda</x:v>
      </x:c>
      <x:c r="U19" s="26"/>
    </x:row>
    <x:row r="20">
      <x:c r="A20" s="26" t="str">
        <x:v>日本</x:v>
      </x:c>
      <x:c r="B20" s="26" t="str">
        <x:v>Keito Nakamura</x:v>
      </x:c>
      <x:c r="C20" s="26" t="str">
        <x:v>左ウイング</x:v>
      </x:c>
      <x:c r="D20" s="26" t="str">
        <x:v>FW</x:v>
      </x:c>
      <x:c r="E20" s="28" t="n">
        <x:v>25</x:v>
      </x:c>
      <x:c r="F20" s="30" t="n">
        <x:v>10</x:v>
      </x:c>
      <x:c r="G20" s="26" t="str">
        <x:v>2025/26</x:v>
      </x:c>
      <x:c r="H20" s="26" t="str">
        <x:v>Ligue 2</x:v>
      </x:c>
      <x:c r="I20" s="26" t="str">
        <x:v>Reims</x:v>
      </x:c>
      <x:c r="J20" s="28" t="n">
        <x:v>29</x:v>
      </x:c>
      <x:c r="K20" s="28" t="n">
        <x:v>28</x:v>
      </x:c>
      <x:c r="L20" s="28" t="n">
        <x:v>2359</x:v>
      </x:c>
      <x:c r="M20" s="28" t="n">
        <x:v>14</x:v>
      </x:c>
      <x:c r="N20" s="28" t="n">
        <x:v>2</x:v>
      </x:c>
      <x:c r="O20" s="28" t="n">
        <x:f>IF(COUNT(M20:N20)&lt;2,"",SUM(M20:N20))</x:f>
        <x:v>16</x:v>
      </x:c>
      <x:c r="P20" s="32" t="n">
        <x:f>IF(OR(COUNT(L20)=0,L20=0,COUNT(O20)=0),"",O20*90/L20)</x:f>
        <x:v>0.6104281475201356</x:v>
      </x:c>
      <x:c r="Q20" s="26" t="str">
        <x:v>完全</x:v>
      </x:c>
      <x:c r="R20" s="26" t="str">
        <x:v>https://www.transfermarkt.us/japan/kader/verein/3435/saison_id/2026</x:v>
      </x:c>
      <x:c r="S20" s="26" t="str">
        <x:v>Transfermarkt</x:v>
      </x:c>
      <x:c r="T20" s="26" t="str">
        <x:v>https://www.transfermarkt.com/schnellsuche/ergebnis/schnellsuche?query=Keito+Nakamura</x:v>
      </x:c>
      <x:c r="U20" s="26"/>
    </x:row>
    <x:row r="21">
      <x:c r="A21" s="26" t="str">
        <x:v>日本</x:v>
      </x:c>
      <x:c r="B21" s="26" t="str">
        <x:v>Takefusa Kubo</x:v>
      </x:c>
      <x:c r="C21" s="26" t="str">
        <x:v>右ウイング</x:v>
      </x:c>
      <x:c r="D21" s="26" t="str">
        <x:v>FW</x:v>
      </x:c>
      <x:c r="E21" s="28" t="n">
        <x:v>25</x:v>
      </x:c>
      <x:c r="F21" s="30" t="n">
        <x:v>20</x:v>
      </x:c>
      <x:c r="G21" s="26" t="str">
        <x:v>2025/26</x:v>
      </x:c>
      <x:c r="H21" s="26" t="str">
        <x:v>La Liga</x:v>
      </x:c>
      <x:c r="I21" s="26" t="str">
        <x:v>Real Sociedad</x:v>
      </x:c>
      <x:c r="J21" s="28" t="n">
        <x:v>24</x:v>
      </x:c>
      <x:c r="K21" s="28" t="n">
        <x:v>17</x:v>
      </x:c>
      <x:c r="L21" s="28" t="n">
        <x:v>1509</x:v>
      </x:c>
      <x:c r="M21" s="28" t="n">
        <x:v>2</x:v>
      </x:c>
      <x:c r="N21" s="28" t="n">
        <x:v>4</x:v>
      </x:c>
      <x:c r="O21" s="28" t="n">
        <x:f>IF(COUNT(M21:N21)&lt;2,"",SUM(M21:N21))</x:f>
        <x:v>6</x:v>
      </x:c>
      <x:c r="P21" s="32" t="n">
        <x:f>IF(OR(COUNT(L21)=0,L21=0,COUNT(O21)=0),"",O21*90/L21)</x:f>
        <x:v>0.35785288270377735</x:v>
      </x:c>
      <x:c r="Q21" s="26" t="str">
        <x:v>完全</x:v>
      </x:c>
      <x:c r="R21" s="26" t="str">
        <x:v>https://www.transfermarkt.us/japan/kader/verein/3435/saison_id/2026</x:v>
      </x:c>
      <x:c r="S21" s="26" t="str">
        <x:v>FBref</x:v>
      </x:c>
      <x:c r="T21" s="26" t="str">
        <x:v>https://fbref.com/en/search/search.fcgi?search=Takefusa+Kubo</x:v>
      </x:c>
      <x:c r="U21" s="26"/>
    </x:row>
    <x:row r="22">
      <x:c r="A22" s="26" t="str">
        <x:v>日本</x:v>
      </x:c>
      <x:c r="B22" s="26" t="str">
        <x:v>Ritsu Doan</x:v>
      </x:c>
      <x:c r="C22" s="26" t="str">
        <x:v>右ウイング</x:v>
      </x:c>
      <x:c r="D22" s="26" t="str">
        <x:v>FW</x:v>
      </x:c>
      <x:c r="E22" s="28" t="n">
        <x:v>28</x:v>
      </x:c>
      <x:c r="F22" s="30" t="n">
        <x:v>17</x:v>
      </x:c>
      <x:c r="G22" s="26" t="str">
        <x:v>2025/26</x:v>
      </x:c>
      <x:c r="H22" s="26" t="str">
        <x:v>Bundesliga</x:v>
      </x:c>
      <x:c r="I22" s="26" t="str">
        <x:v>Eintracht Frankfurt</x:v>
      </x:c>
      <x:c r="J22" s="28" t="n">
        <x:v>31</x:v>
      </x:c>
      <x:c r="K22" s="28" t="n">
        <x:v>28</x:v>
      </x:c>
      <x:c r="L22" s="28" t="n">
        <x:v>2378</x:v>
      </x:c>
      <x:c r="M22" s="28" t="n">
        <x:v>5</x:v>
      </x:c>
      <x:c r="N22" s="28" t="n">
        <x:v>5</x:v>
      </x:c>
      <x:c r="O22" s="28" t="n">
        <x:f>IF(COUNT(M22:N22)&lt;2,"",SUM(M22:N22))</x:f>
        <x:v>10</x:v>
      </x:c>
      <x:c r="P22" s="32" t="n">
        <x:f>IF(OR(COUNT(L22)=0,L22=0,COUNT(O22)=0),"",O22*90/L22)</x:f>
        <x:v>0.37846930193439865</x:v>
      </x:c>
      <x:c r="Q22" s="26" t="str">
        <x:v>完全</x:v>
      </x:c>
      <x:c r="R22" s="26" t="str">
        <x:v>https://www.transfermarkt.us/japan/kader/verein/3435/saison_id/2026</x:v>
      </x:c>
      <x:c r="S22" s="26" t="str">
        <x:v>FBref</x:v>
      </x:c>
      <x:c r="T22" s="26" t="str">
        <x:v>https://fbref.com/en/search/search.fcgi?search=Ritsu+Doan</x:v>
      </x:c>
      <x:c r="U22" s="26"/>
    </x:row>
    <x:row r="23">
      <x:c r="A23" s="26" t="str">
        <x:v>日本</x:v>
      </x:c>
      <x:c r="B23" s="26" t="str">
        <x:v>Junya Ito</x:v>
      </x:c>
      <x:c r="C23" s="26" t="str">
        <x:v>右ウイング</x:v>
      </x:c>
      <x:c r="D23" s="26" t="str">
        <x:v>FW</x:v>
      </x:c>
      <x:c r="E23" s="28" t="n">
        <x:v>33</x:v>
      </x:c>
      <x:c r="F23" s="30" t="n">
        <x:v>3</x:v>
      </x:c>
      <x:c r="G23" s="26" t="str">
        <x:v>2025/26</x:v>
      </x:c>
      <x:c r="H23" s="26" t="str">
        <x:v>Belgian Pro League</x:v>
      </x:c>
      <x:c r="I23" s="26" t="str">
        <x:v>Genk</x:v>
      </x:c>
      <x:c r="J23" s="28" t="n">
        <x:v>28</x:v>
      </x:c>
      <x:c r="K23" s="28" t="n">
        <x:v>22</x:v>
      </x:c>
      <x:c r="L23" s="28" t="n">
        <x:v>1787</x:v>
      </x:c>
      <x:c r="M23" s="28" t="n">
        <x:v>6</x:v>
      </x:c>
      <x:c r="N23" s="28" t="n">
        <x:v>5</x:v>
      </x:c>
      <x:c r="O23" s="28" t="n">
        <x:f>IF(COUNT(M23:N23)&lt;2,"",SUM(M23:N23))</x:f>
        <x:v>11</x:v>
      </x:c>
      <x:c r="P23" s="32" t="n">
        <x:f>IF(OR(COUNT(L23)=0,L23=0,COUNT(O23)=0),"",O23*90/L23)</x:f>
        <x:v>0.5540011191941802</x:v>
      </x:c>
      <x:c r="Q23" s="26" t="str">
        <x:v>完全</x:v>
      </x:c>
      <x:c r="R23" s="26" t="str">
        <x:v>https://www.transfermarkt.us/japan/kader/verein/3435/saison_id/2026</x:v>
      </x:c>
      <x:c r="S23" s="26" t="str">
        <x:v>Transfermarkt</x:v>
      </x:c>
      <x:c r="T23" s="26" t="str">
        <x:v>https://www.transfermarkt.com/schnellsuche/ergebnis/schnellsuche?query=Junya+Ito</x:v>
      </x:c>
      <x:c r="U23" s="26"/>
    </x:row>
    <x:row r="24">
      <x:c r="A24" s="26" t="str">
        <x:v>日本</x:v>
      </x:c>
      <x:c r="B24" s="26" t="str">
        <x:v>Yuito Suzuki</x:v>
      </x:c>
      <x:c r="C24" s="26" t="str">
        <x:v>セカンドトップ</x:v>
      </x:c>
      <x:c r="D24" s="26" t="str">
        <x:v>FW</x:v>
      </x:c>
      <x:c r="E24" s="28" t="n">
        <x:v>24</x:v>
      </x:c>
      <x:c r="F24" s="30" t="n">
        <x:v>24</x:v>
      </x:c>
      <x:c r="G24" s="26" t="str">
        <x:v>2025/26</x:v>
      </x:c>
      <x:c r="H24" s="26" t="str">
        <x:v>Bundesliga</x:v>
      </x:c>
      <x:c r="I24" s="26" t="str">
        <x:v>Freiburg</x:v>
      </x:c>
      <x:c r="J24" s="28" t="n">
        <x:v>25</x:v>
      </x:c>
      <x:c r="K24" s="28" t="n">
        <x:v>18</x:v>
      </x:c>
      <x:c r="L24" s="28" t="n">
        <x:v>1637</x:v>
      </x:c>
      <x:c r="M24" s="28" t="n">
        <x:v>4</x:v>
      </x:c>
      <x:c r="N24" s="28" t="n">
        <x:v>2</x:v>
      </x:c>
      <x:c r="O24" s="28" t="n">
        <x:f>IF(COUNT(M24:N24)&lt;2,"",SUM(M24:N24))</x:f>
        <x:v>6</x:v>
      </x:c>
      <x:c r="P24" s="32" t="n">
        <x:f>IF(OR(COUNT(L24)=0,L24=0,COUNT(O24)=0),"",O24*90/L24)</x:f>
        <x:v>0.3298717165546732</x:v>
      </x:c>
      <x:c r="Q24" s="26" t="str">
        <x:v>完全</x:v>
      </x:c>
      <x:c r="R24" s="26" t="str">
        <x:v>https://www.transfermarkt.us/japan/kader/verein/3435/saison_id/2026</x:v>
      </x:c>
      <x:c r="S24" s="26" t="str">
        <x:v>FBref</x:v>
      </x:c>
      <x:c r="T24" s="26" t="str">
        <x:v>https://fbref.com/en/search/search.fcgi?search=Yuito+Suzuki</x:v>
      </x:c>
      <x:c r="U24" s="26"/>
    </x:row>
    <x:row r="25">
      <x:c r="A25" s="26" t="str">
        <x:v>日本</x:v>
      </x:c>
      <x:c r="B25" s="26" t="str">
        <x:v>Ayase Ueda</x:v>
      </x:c>
      <x:c r="C25" s="26" t="str">
        <x:v>センターフォワード</x:v>
      </x:c>
      <x:c r="D25" s="26" t="str">
        <x:v>FW</x:v>
      </x:c>
      <x:c r="E25" s="28" t="n">
        <x:v>27</x:v>
      </x:c>
      <x:c r="F25" s="30" t="n">
        <x:v>17</x:v>
      </x:c>
      <x:c r="G25" s="26" t="str">
        <x:v>2025/26</x:v>
      </x:c>
      <x:c r="H25" s="26" t="str">
        <x:v>Eredivisie</x:v>
      </x:c>
      <x:c r="I25" s="26" t="str">
        <x:v>Feyenoord</x:v>
      </x:c>
      <x:c r="J25" s="28" t="n">
        <x:v>31</x:v>
      </x:c>
      <x:c r="K25" s="28" t="n">
        <x:v>31</x:v>
      </x:c>
      <x:c r="L25" s="28" t="n">
        <x:v>2535</x:v>
      </x:c>
      <x:c r="M25" s="28" t="n">
        <x:v>25</x:v>
      </x:c>
      <x:c r="N25" s="28" t="n">
        <x:v>1</x:v>
      </x:c>
      <x:c r="O25" s="28" t="n">
        <x:f>IF(COUNT(M25:N25)&lt;2,"",SUM(M25:N25))</x:f>
        <x:v>26</x:v>
      </x:c>
      <x:c r="P25" s="32" t="n">
        <x:f>IF(OR(COUNT(L25)=0,L25=0,COUNT(O25)=0),"",O25*90/L25)</x:f>
        <x:v>0.9230769230769231</x:v>
      </x:c>
      <x:c r="Q25" s="26" t="str">
        <x:v>完全</x:v>
      </x:c>
      <x:c r="R25" s="26" t="str">
        <x:v>https://www.transfermarkt.us/japan/kader/verein/3435/saison_id/2026</x:v>
      </x:c>
      <x:c r="S25" s="26" t="str">
        <x:v>Transfermarkt</x:v>
      </x:c>
      <x:c r="T25" s="26" t="str">
        <x:v>https://www.transfermarkt.com/schnellsuche/ergebnis/schnellsuche?query=Ayase+Ueda</x:v>
      </x:c>
      <x:c r="U25" s="26"/>
    </x:row>
    <x:row r="26">
      <x:c r="A26" s="26" t="str">
        <x:v>日本</x:v>
      </x:c>
      <x:c r="B26" s="26" t="str">
        <x:v>Keisuke Goto</x:v>
      </x:c>
      <x:c r="C26" s="26" t="str">
        <x:v>センターフォワード</x:v>
      </x:c>
      <x:c r="D26" s="26" t="str">
        <x:v>FW</x:v>
      </x:c>
      <x:c r="E26" s="28" t="n">
        <x:v>21</x:v>
      </x:c>
      <x:c r="F26" s="30" t="n">
        <x:v>10</x:v>
      </x:c>
      <x:c r="G26" s="26" t="str">
        <x:v>2025/26</x:v>
      </x:c>
      <x:c r="H26" s="26" t="str">
        <x:v>Belgian Pro League</x:v>
      </x:c>
      <x:c r="I26" s="26" t="str">
        <x:v>Sint-Truiden</x:v>
      </x:c>
      <x:c r="J26" s="28" t="n">
        <x:v>38</x:v>
      </x:c>
      <x:c r="K26" s="28" t="n">
        <x:v>32</x:v>
      </x:c>
      <x:c r="L26" s="28" t="n">
        <x:v>2886</x:v>
      </x:c>
      <x:c r="M26" s="28" t="n">
        <x:v>11</x:v>
      </x:c>
      <x:c r="N26" s="28" t="n">
        <x:v>7</x:v>
      </x:c>
      <x:c r="O26" s="28" t="n">
        <x:f>IF(COUNT(M26:N26)&lt;2,"",SUM(M26:N26))</x:f>
        <x:v>18</x:v>
      </x:c>
      <x:c r="P26" s="32" t="n">
        <x:f>IF(OR(COUNT(L26)=0,L26=0,COUNT(O26)=0),"",O26*90/L26)</x:f>
        <x:v>0.5613305613305614</x:v>
      </x:c>
      <x:c r="Q26" s="26" t="str">
        <x:v>完全</x:v>
      </x:c>
      <x:c r="R26" s="26" t="str">
        <x:v>https://www.transfermarkt.us/japan/kader/verein/3435/saison_id/2026</x:v>
      </x:c>
      <x:c r="S26" s="26" t="str">
        <x:v>Transfermarkt</x:v>
      </x:c>
      <x:c r="T26" s="26" t="str">
        <x:v>https://www.transfermarkt.com/schnellsuche/ergebnis/schnellsuche?query=Keisuke+Goto</x:v>
      </x:c>
      <x:c r="U26" s="26"/>
    </x:row>
    <x:row r="27">
      <x:c r="A27" s="26" t="str">
        <x:v>日本</x:v>
      </x:c>
      <x:c r="B27" s="26" t="str">
        <x:v>Kento Shiogai</x:v>
      </x:c>
      <x:c r="C27" s="26" t="str">
        <x:v>センターフォワード</x:v>
      </x:c>
      <x:c r="D27" s="26" t="str">
        <x:v>FW</x:v>
      </x:c>
      <x:c r="E27" s="28" t="n">
        <x:v>21</x:v>
      </x:c>
      <x:c r="F27" s="30" t="n">
        <x:v>8</x:v>
      </x:c>
      <x:c r="G27" s="26" t="str">
        <x:v>2025/26</x:v>
      </x:c>
      <x:c r="H27" s="26" t="str">
        <x:v>Eredivisie + Bundesliga</x:v>
      </x:c>
      <x:c r="I27" s="26" t="str">
        <x:v>NEC + Wolfsburg</x:v>
      </x:c>
      <x:c r="J27" s="28" t="n">
        <x:v>24</x:v>
      </x:c>
      <x:c r="K27" s="28" t="n">
        <x:v>3</x:v>
      </x:c>
      <x:c r="L27" s="28" t="n">
        <x:v>672</x:v>
      </x:c>
      <x:c r="M27" s="28" t="n">
        <x:v>8</x:v>
      </x:c>
      <x:c r="N27" s="28" t="n">
        <x:v>0</x:v>
      </x:c>
      <x:c r="O27" s="28" t="n">
        <x:f>IF(COUNT(M27:N27)&lt;2,"",SUM(M27:N27))</x:f>
        <x:v>8</x:v>
      </x:c>
      <x:c r="P27" s="32" t="n">
        <x:f>IF(OR(COUNT(L27)=0,L27=0,COUNT(O27)=0),"",O27*90/L27)</x:f>
        <x:v>1.0714285714285714</x:v>
      </x:c>
      <x:c r="Q27" s="26" t="str">
        <x:v>完全</x:v>
      </x:c>
      <x:c r="R27" s="26" t="str">
        <x:v>https://www.transfermarkt.us/japan/kader/verein/3435/saison_id/2026</x:v>
      </x:c>
      <x:c r="S27" s="26" t="str">
        <x:v>Transfermarkt</x:v>
      </x:c>
      <x:c r="T27" s="26" t="str">
        <x:v>https://www.transfermarkt.com/schnellsuche/ergebnis/schnellsuche?query=Kento+Shiogai</x:v>
      </x:c>
      <x:c r="U27" s="26" t="str">
        <x:v>Season aggregate: NEC 12 apps/7G + Wolfsburg 12 apps/1G.</x:v>
      </x:c>
    </x:row>
    <x:row r="28">
      <x:c r="A28" s="26" t="str">
        <x:v>日本</x:v>
      </x:c>
      <x:c r="B28" s="26" t="str">
        <x:v>Shuto Machino</x:v>
      </x:c>
      <x:c r="C28" s="26" t="str">
        <x:v>センターフォワード</x:v>
      </x:c>
      <x:c r="D28" s="26" t="str">
        <x:v>FW</x:v>
      </x:c>
      <x:c r="E28" s="28" t="n">
        <x:v>26</x:v>
      </x:c>
      <x:c r="F28" s="30" t="n">
        <x:v>4</x:v>
      </x:c>
      <x:c r="G28" s="26" t="str">
        <x:v>2025/26</x:v>
      </x:c>
      <x:c r="H28" s="26" t="str">
        <x:v>Bundesliga</x:v>
      </x:c>
      <x:c r="I28" s="26" t="str">
        <x:v>Borussia Mönchengladbach</x:v>
      </x:c>
      <x:c r="J28" s="28" t="n">
        <x:v>32</x:v>
      </x:c>
      <x:c r="K28" s="28"/>
      <x:c r="L28" s="28" t="n">
        <x:v>1076</x:v>
      </x:c>
      <x:c r="M28" s="28" t="n">
        <x:v>3</x:v>
      </x:c>
      <x:c r="N28" s="28" t="n">
        <x:v>1</x:v>
      </x:c>
      <x:c r="O28" s="28" t="n">
        <x:f>IF(COUNT(M28:N28)&lt;2,"",SUM(M28:N28))</x:f>
        <x:v>4</x:v>
      </x:c>
      <x:c r="P28" s="32" t="n">
        <x:f>IF(OR(COUNT(L28)=0,L28=0,COUNT(O28)=0),"",O28*90/L28)</x:f>
        <x:v>0.3345724907063197</x:v>
      </x:c>
      <x:c r="Q28" s="26" t="str">
        <x:v>一部</x:v>
      </x:c>
      <x:c r="R28" s="26" t="str">
        <x:v>https://www.transfermarkt.us/japan/kader/verein/3435/saison_id/2026</x:v>
      </x:c>
      <x:c r="S28" s="26" t="str">
        <x:v>Transfermarkt</x:v>
      </x:c>
      <x:c r="T28" s="26" t="str">
        <x:v>https://www.transfermarkt.com/schnellsuche/ergebnis/schnellsuche?query=Shuto+Machino</x:v>
      </x:c>
      <x:c r="U28" s="26" t="str">
        <x:v>Starts not reliably verified in source snapshot.</x:v>
      </x:c>
    </x:row>
    <x:row r="29">
      <x:c r="A29" s="26" t="str">
        <x:v>日本</x:v>
      </x:c>
      <x:c r="B29" s="26" t="str">
        <x:v>Koki Ogawa</x:v>
      </x:c>
      <x:c r="C29" s="26" t="str">
        <x:v>センターフォワード</x:v>
      </x:c>
      <x:c r="D29" s="26" t="str">
        <x:v>FW</x:v>
      </x:c>
      <x:c r="E29" s="28" t="n">
        <x:v>28</x:v>
      </x:c>
      <x:c r="F29" s="30" t="n">
        <x:v>2</x:v>
      </x:c>
      <x:c r="G29" s="26" t="str">
        <x:v>2025/26</x:v>
      </x:c>
      <x:c r="H29" s="26" t="str">
        <x:v>Eredivisie</x:v>
      </x:c>
      <x:c r="I29" s="26" t="str">
        <x:v>NEC</x:v>
      </x:c>
      <x:c r="J29" s="28" t="n">
        <x:v>26</x:v>
      </x:c>
      <x:c r="K29" s="28" t="n">
        <x:v>17</x:v>
      </x:c>
      <x:c r="L29" s="28" t="n">
        <x:v>1273</x:v>
      </x:c>
      <x:c r="M29" s="28" t="n">
        <x:v>8</x:v>
      </x:c>
      <x:c r="N29" s="28" t="n">
        <x:v>3</x:v>
      </x:c>
      <x:c r="O29" s="28" t="n">
        <x:f>IF(COUNT(M29:N29)&lt;2,"",SUM(M29:N29))</x:f>
        <x:v>11</x:v>
      </x:c>
      <x:c r="P29" s="32" t="n">
        <x:f>IF(OR(COUNT(L29)=0,L29=0,COUNT(O29)=0),"",O29*90/L29)</x:f>
        <x:v>0.7776904948939513</x:v>
      </x:c>
      <x:c r="Q29" s="26" t="str">
        <x:v>完全</x:v>
      </x:c>
      <x:c r="R29" s="26" t="str">
        <x:v>https://www.transfermarkt.us/japan/kader/verein/3435/saison_id/2026</x:v>
      </x:c>
      <x:c r="S29" s="26" t="str">
        <x:v>Transfermarkt</x:v>
      </x:c>
      <x:c r="T29" s="26" t="str">
        <x:v>https://www.transfermarkt.com/schnellsuche/ergebnis/schnellsuche?query=Koki+Ogawa</x:v>
      </x:c>
      <x:c r="U29" s="26"/>
    </x:row>
  </x:sheetData>
  <x:mergeCells>
    <x:mergeCell ref="A1:U1"/>
    <x:mergeCell ref="A2:U2"/>
  </x:mergeCells>
  <x:conditionalFormatting sqref="F4:F2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{B14524B1-0432-08A5-58A0-ADA032C2F243}</x14:id>
        </x:ext>
      </x:extLst>
    </x:cfRule>
  </x:conditionalFormatting>
  <x:conditionalFormatting sqref="P4:P2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6f7b1144c8420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14524B1-0432-08A5-58A0-ADA032C2F243}">
            <x14:dataBar gradient="1">
              <x14:cfvo type="min"/>
              <x14:cfvo type="max"/>
              <x14:fillColor rgb="FF4F81BD"/>
            </x14:dataBar>
          </x14:cfRule>
          <xm:sqref>F4:F29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0" hidden="0" customWidth="1"/>
    <x:col min="5" max="5" width="7" hidden="0" customWidth="1"/>
    <x:col min="6" max="6" width="16" hidden="0" customWidth="1"/>
    <x:col min="7" max="7" width="14" hidden="0" customWidth="1"/>
    <x:col min="8" max="8" width="27" hidden="0" customWidth="1"/>
    <x:col min="9" max="9" width="30" hidden="0" customWidth="1"/>
    <x:col min="10" max="10" width="8" hidden="0" customWidth="1"/>
    <x:col min="11" max="11" width="8" hidden="0" customWidth="1"/>
    <x:col min="12" max="12" width="12" hidden="0" customWidth="1"/>
    <x:col min="13" max="13" width="8" hidden="0" customWidth="1"/>
    <x:col min="14" max="14" width="9" hidden="0" customWidth="1"/>
    <x:col min="15" max="15" width="8" hidden="0" customWidth="1"/>
    <x:col min="16" max="16" width="12" hidden="0" customWidth="1"/>
    <x:col min="17" max="17" width="13" hidden="0" customWidth="1"/>
    <x:col min="18" max="18" width="38" hidden="0" customWidth="1"/>
    <x:col min="19" max="19" width="18" hidden="0" customWidth="1"/>
    <x:col min="20" max="20" width="38" hidden="0" customWidth="1"/>
    <x:col min="21" max="21" width="46" hidden="0" customWidth="1"/>
  </x:cols>
  <x:sheetData>
    <x:row r="1" ht="28" customHeight="1">
      <x:c r="A1" s="4" t="str">
        <x:v>オランダ代表 — 選手データ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2" customHeight="1">
      <x:c r="A2" s="10" t="str">
        <x:v>市場価値と直近リーグ戦スタッツを比較する表示用シートです。選手名・クラブ名・リーグ名は検索互換性のため原表記を維持しています。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36" customHeight="1">
      <x:c r="A3" s="18" t="str">
        <x:v>国</x:v>
      </x:c>
      <x:c r="B3" s="18" t="str">
        <x:v>選手名</x:v>
      </x:c>
      <x:c r="C3" s="18" t="str">
        <x:v>ポジション</x:v>
      </x:c>
      <x:c r="D3" s="18" t="str">
        <x:v>区分</x:v>
      </x:c>
      <x:c r="E3" s="18" t="str">
        <x:v>年齢</x:v>
      </x:c>
      <x:c r="F3" s="18" t="str">
        <x:v>市場価値（百万€）</x:v>
      </x:c>
      <x:c r="G3" s="18" t="str">
        <x:v>対象シーズン</x:v>
      </x:c>
      <x:c r="H3" s="18" t="str">
        <x:v>リーグ</x:v>
      </x:c>
      <x:c r="I3" s="18" t="str">
        <x:v>所属クラブ</x:v>
      </x:c>
      <x:c r="J3" s="18" t="str">
        <x:v>出場</x:v>
      </x:c>
      <x:c r="K3" s="18" t="str">
        <x:v>先発</x:v>
      </x:c>
      <x:c r="L3" s="18" t="str">
        <x:v>出場時間（分）</x:v>
      </x:c>
      <x:c r="M3" s="18" t="str">
        <x:v>得点</x:v>
      </x:c>
      <x:c r="N3" s="18" t="str">
        <x:v>アシスト</x:v>
      </x:c>
      <x:c r="O3" s="18" t="str">
        <x:v>G+A</x:v>
      </x:c>
      <x:c r="P3" s="18" t="str">
        <x:v>90分あたりG+A</x:v>
      </x:c>
      <x:c r="Q3" s="18" t="str">
        <x:v>データ充足度</x:v>
      </x:c>
      <x:c r="R3" s="18" t="str">
        <x:v>市場価値出典URL</x:v>
      </x:c>
      <x:c r="S3" s="18" t="str">
        <x:v>スタッツ出典</x:v>
      </x:c>
      <x:c r="T3" s="18" t="str">
        <x:v>スタッツURL</x:v>
      </x:c>
      <x:c r="U3" s="18" t="str">
        <x:v>備考</x:v>
      </x:c>
    </x:row>
    <x:row r="4">
      <x:c r="A4" s="26" t="str">
        <x:v>オランダ</x:v>
      </x:c>
      <x:c r="B4" s="26" t="str">
        <x:v>Bart Verbruggen</x:v>
      </x:c>
      <x:c r="C4" s="26" t="str">
        <x:v>ゴールキーパー</x:v>
      </x:c>
      <x:c r="D4" s="26" t="str">
        <x:v>GK</x:v>
      </x:c>
      <x:c r="E4" s="28" t="n">
        <x:v>23</x:v>
      </x:c>
      <x:c r="F4" s="30" t="n">
        <x:v>40</x:v>
      </x:c>
      <x:c r="G4" s="26" t="str">
        <x:v>2025/26</x:v>
      </x:c>
      <x:c r="H4" s="26" t="str">
        <x:v>Premier League</x:v>
      </x:c>
      <x:c r="I4" s="26" t="str">
        <x:v>Brighton</x:v>
      </x:c>
      <x:c r="J4" s="28" t="n">
        <x:v>38</x:v>
      </x:c>
      <x:c r="K4" s="28" t="n">
        <x:v>38</x:v>
      </x:c>
      <x:c r="L4" s="28" t="n">
        <x:v>3420</x:v>
      </x:c>
      <x:c r="M4" s="28" t="n">
        <x:v>0</x:v>
      </x:c>
      <x:c r="N4" s="28" t="n">
        <x:v>0</x:v>
      </x:c>
      <x:c r="O4" s="28" t="n">
        <x:f>IF(COUNT(M4:N4)&lt;2,"",SUM(M4:N4))</x:f>
        <x:v>0</x:v>
      </x:c>
      <x:c r="P4" s="32" t="n">
        <x:f>IF(OR(COUNT(L4)=0,L4=0,COUNT(O4)=0),"",O4*90/L4)</x:f>
        <x:v>0</x:v>
      </x:c>
      <x:c r="Q4" s="26" t="str">
        <x:v>完全</x:v>
      </x:c>
      <x:c r="R4" s="26" t="str">
        <x:v>https://www.transfermarkt.us/netherlands/kader/verein/3379</x:v>
      </x:c>
      <x:c r="S4" s="26" t="str">
        <x:v>FBref</x:v>
      </x:c>
      <x:c r="T4" s="26" t="str">
        <x:v>https://fbref.com/en/search/search.fcgi?search=Bart+Verbruggen</x:v>
      </x:c>
      <x:c r="U4" s="26"/>
    </x:row>
    <x:row r="5">
      <x:c r="A5" s="26" t="str">
        <x:v>オランダ</x:v>
      </x:c>
      <x:c r="B5" s="26" t="str">
        <x:v>Robin Roefs</x:v>
      </x:c>
      <x:c r="C5" s="26" t="str">
        <x:v>ゴールキーパー</x:v>
      </x:c>
      <x:c r="D5" s="26" t="str">
        <x:v>GK</x:v>
      </x:c>
      <x:c r="E5" s="28" t="n">
        <x:v>23</x:v>
      </x:c>
      <x:c r="F5" s="30" t="n">
        <x:v>28</x:v>
      </x:c>
      <x:c r="G5" s="26" t="str">
        <x:v>2025/26</x:v>
      </x:c>
      <x:c r="H5" s="26" t="str">
        <x:v>Premier League</x:v>
      </x:c>
      <x:c r="I5" s="26" t="str">
        <x:v>Sunderland</x:v>
      </x:c>
      <x:c r="J5" s="28" t="n">
        <x:v>35</x:v>
      </x:c>
      <x:c r="K5" s="28" t="n">
        <x:v>35</x:v>
      </x:c>
      <x:c r="L5" s="28" t="n">
        <x:v>3150</x:v>
      </x:c>
      <x:c r="M5" s="28" t="n">
        <x:v>0</x:v>
      </x:c>
      <x:c r="N5" s="28" t="n">
        <x:v>0</x:v>
      </x:c>
      <x:c r="O5" s="28" t="n">
        <x:f>IF(COUNT(M5:N5)&lt;2,"",SUM(M5:N5))</x:f>
        <x:v>0</x:v>
      </x:c>
      <x:c r="P5" s="32" t="n">
        <x:f>IF(OR(COUNT(L5)=0,L5=0,COUNT(O5)=0),"",O5*90/L5)</x:f>
        <x:v>0</x:v>
      </x:c>
      <x:c r="Q5" s="26" t="str">
        <x:v>完全</x:v>
      </x:c>
      <x:c r="R5" s="26" t="str">
        <x:v>https://www.transfermarkt.us/netherlands/kader/verein/3379</x:v>
      </x:c>
      <x:c r="S5" s="26" t="str">
        <x:v>Opta Analyst</x:v>
      </x:c>
      <x:c r="T5" s="26" t="str">
        <x:v>https://theanalyst.com/players/6606/robin-roefs/career</x:v>
      </x:c>
      <x:c r="U5" s="26"/>
    </x:row>
    <x:row r="6">
      <x:c r="A6" s="26" t="str">
        <x:v>オランダ</x:v>
      </x:c>
      <x:c r="B6" s="26" t="str">
        <x:v>Mark Flekken</x:v>
      </x:c>
      <x:c r="C6" s="26" t="str">
        <x:v>ゴールキーパー</x:v>
      </x:c>
      <x:c r="D6" s="26" t="str">
        <x:v>GK</x:v>
      </x:c>
      <x:c r="E6" s="28" t="n">
        <x:v>33</x:v>
      </x:c>
      <x:c r="F6" s="30" t="n">
        <x:v>6</x:v>
      </x:c>
      <x:c r="G6" s="26" t="str">
        <x:v>2025/26</x:v>
      </x:c>
      <x:c r="H6" s="26" t="str">
        <x:v>Bundesliga</x:v>
      </x:c>
      <x:c r="I6" s="26" t="str">
        <x:v>Bayer Leverkusen</x:v>
      </x:c>
      <x:c r="J6" s="28" t="n">
        <x:v>24</x:v>
      </x:c>
      <x:c r="K6" s="28" t="n">
        <x:v>24</x:v>
      </x:c>
      <x:c r="L6" s="28" t="n">
        <x:v>2130</x:v>
      </x:c>
      <x:c r="M6" s="28" t="n">
        <x:v>0</x:v>
      </x:c>
      <x:c r="N6" s="28" t="n">
        <x:v>0</x:v>
      </x:c>
      <x:c r="O6" s="28" t="n">
        <x:f>IF(COUNT(M6:N6)&lt;2,"",SUM(M6:N6))</x:f>
        <x:v>0</x:v>
      </x:c>
      <x:c r="P6" s="32" t="n">
        <x:f>IF(OR(COUNT(L6)=0,L6=0,COUNT(O6)=0),"",O6*90/L6)</x:f>
        <x:v>0</x:v>
      </x:c>
      <x:c r="Q6" s="26" t="str">
        <x:v>完全</x:v>
      </x:c>
      <x:c r="R6" s="26" t="str">
        <x:v>https://www.transfermarkt.us/netherlands/kader/verein/3379</x:v>
      </x:c>
      <x:c r="S6" s="26" t="str">
        <x:v>Transfermarkt</x:v>
      </x:c>
      <x:c r="T6" s="26" t="str">
        <x:v>https://www.transfermarkt.com/schnellsuche/ergebnis/schnellsuche?query=Mark+Flekken</x:v>
      </x:c>
      <x:c r="U6" s="26"/>
    </x:row>
    <x:row r="7">
      <x:c r="A7" s="26" t="str">
        <x:v>オランダ</x:v>
      </x:c>
      <x:c r="B7" s="26" t="str">
        <x:v>Micky van de Ven</x:v>
      </x:c>
      <x:c r="C7" s="26" t="str">
        <x:v>センターバック</x:v>
      </x:c>
      <x:c r="D7" s="26" t="str">
        <x:v>DF</x:v>
      </x:c>
      <x:c r="E7" s="28" t="n">
        <x:v>25</x:v>
      </x:c>
      <x:c r="F7" s="30" t="n">
        <x:v>50</x:v>
      </x:c>
      <x:c r="G7" s="26" t="str">
        <x:v>2025/26</x:v>
      </x:c>
      <x:c r="H7" s="26" t="str">
        <x:v>Premier League</x:v>
      </x:c>
      <x:c r="I7" s="26" t="str">
        <x:v>Tottenham Hotspur</x:v>
      </x:c>
      <x:c r="J7" s="28" t="n">
        <x:v>35</x:v>
      </x:c>
      <x:c r="K7" s="28" t="n">
        <x:v>35</x:v>
      </x:c>
      <x:c r="L7" s="28" t="n">
        <x:v>3044</x:v>
      </x:c>
      <x:c r="M7" s="28" t="n">
        <x:v>4</x:v>
      </x:c>
      <x:c r="N7" s="28" t="n">
        <x:v>1</x:v>
      </x:c>
      <x:c r="O7" s="28" t="n">
        <x:f>IF(COUNT(M7:N7)&lt;2,"",SUM(M7:N7))</x:f>
        <x:v>5</x:v>
      </x:c>
      <x:c r="P7" s="32" t="n">
        <x:f>IF(OR(COUNT(L7)=0,L7=0,COUNT(O7)=0),"",O7*90/L7)</x:f>
        <x:v>0.1478318002628121</x:v>
      </x:c>
      <x:c r="Q7" s="26" t="str">
        <x:v>完全</x:v>
      </x:c>
      <x:c r="R7" s="26" t="str">
        <x:v>https://www.transfermarkt.us/netherlands/kader/verein/3379</x:v>
      </x:c>
      <x:c r="S7" s="26" t="str">
        <x:v>FBref</x:v>
      </x:c>
      <x:c r="T7" s="26" t="str">
        <x:v>https://fbref.com/en/search/search.fcgi?search=Micky+van+de+Ven</x:v>
      </x:c>
      <x:c r="U7" s="26"/>
    </x:row>
    <x:row r="8">
      <x:c r="A8" s="26" t="str">
        <x:v>オランダ</x:v>
      </x:c>
      <x:c r="B8" s="26" t="str">
        <x:v>Jan Paul van Hecke</x:v>
      </x:c>
      <x:c r="C8" s="26" t="str">
        <x:v>センターバック</x:v>
      </x:c>
      <x:c r="D8" s="26" t="str">
        <x:v>DF</x:v>
      </x:c>
      <x:c r="E8" s="28" t="n">
        <x:v>26</x:v>
      </x:c>
      <x:c r="F8" s="30" t="n">
        <x:v>45</x:v>
      </x:c>
      <x:c r="G8" s="26" t="str">
        <x:v>2025/26</x:v>
      </x:c>
      <x:c r="H8" s="26" t="str">
        <x:v>Premier League</x:v>
      </x:c>
      <x:c r="I8" s="26" t="str">
        <x:v>Brighton</x:v>
      </x:c>
      <x:c r="J8" s="28" t="n">
        <x:v>36</x:v>
      </x:c>
      <x:c r="K8" s="28" t="n">
        <x:v>36</x:v>
      </x:c>
      <x:c r="L8" s="28" t="n">
        <x:v>3211</x:v>
      </x:c>
      <x:c r="M8" s="28" t="n">
        <x:v>3</x:v>
      </x:c>
      <x:c r="N8" s="28" t="n">
        <x:v>3</x:v>
      </x:c>
      <x:c r="O8" s="28" t="n">
        <x:f>IF(COUNT(M8:N8)&lt;2,"",SUM(M8:N8))</x:f>
        <x:v>6</x:v>
      </x:c>
      <x:c r="P8" s="32" t="n">
        <x:f>IF(OR(COUNT(L8)=0,L8=0,COUNT(O8)=0),"",O8*90/L8)</x:f>
        <x:v>0.16817190906259732</x:v>
      </x:c>
      <x:c r="Q8" s="26" t="str">
        <x:v>完全</x:v>
      </x:c>
      <x:c r="R8" s="26" t="str">
        <x:v>https://www.transfermarkt.us/netherlands/kader/verein/3379</x:v>
      </x:c>
      <x:c r="S8" s="26" t="str">
        <x:v>FBref</x:v>
      </x:c>
      <x:c r="T8" s="26" t="str">
        <x:v>https://fbref.com/en/search/search.fcgi?search=Jan+Paul+van+Hecke</x:v>
      </x:c>
      <x:c r="U8" s="26"/>
    </x:row>
    <x:row r="9">
      <x:c r="A9" s="26" t="str">
        <x:v>オランダ</x:v>
      </x:c>
      <x:c r="B9" s="26" t="str">
        <x:v>Virgil van Dijk</x:v>
      </x:c>
      <x:c r="C9" s="26" t="str">
        <x:v>センターバック</x:v>
      </x:c>
      <x:c r="D9" s="26" t="str">
        <x:v>DF</x:v>
      </x:c>
      <x:c r="E9" s="28" t="n">
        <x:v>34</x:v>
      </x:c>
      <x:c r="F9" s="30" t="n">
        <x:v>15</x:v>
      </x:c>
      <x:c r="G9" s="26" t="str">
        <x:v>2025/26</x:v>
      </x:c>
      <x:c r="H9" s="26" t="str">
        <x:v>Premier League</x:v>
      </x:c>
      <x:c r="I9" s="26" t="str">
        <x:v>Liverpool</x:v>
      </x:c>
      <x:c r="J9" s="28" t="n">
        <x:v>38</x:v>
      </x:c>
      <x:c r="K9" s="28" t="n">
        <x:v>38</x:v>
      </x:c>
      <x:c r="L9" s="28" t="n">
        <x:v>3420</x:v>
      </x:c>
      <x:c r="M9" s="28" t="n">
        <x:v>6</x:v>
      </x:c>
      <x:c r="N9" s="28" t="n">
        <x:v>0</x:v>
      </x:c>
      <x:c r="O9" s="28" t="n">
        <x:f>IF(COUNT(M9:N9)&lt;2,"",SUM(M9:N9))</x:f>
        <x:v>6</x:v>
      </x:c>
      <x:c r="P9" s="32" t="n">
        <x:f>IF(OR(COUNT(L9)=0,L9=0,COUNT(O9)=0),"",O9*90/L9)</x:f>
        <x:v>0.15789473684210525</x:v>
      </x:c>
      <x:c r="Q9" s="26" t="str">
        <x:v>完全</x:v>
      </x:c>
      <x:c r="R9" s="26" t="str">
        <x:v>https://www.transfermarkt.us/netherlands/kader/verein/3379</x:v>
      </x:c>
      <x:c r="S9" s="26" t="str">
        <x:v>FBref</x:v>
      </x:c>
      <x:c r="T9" s="26" t="str">
        <x:v>https://fbref.com/en/search/search.fcgi?search=Virgil+van+Dijk</x:v>
      </x:c>
      <x:c r="U9" s="26"/>
    </x:row>
    <x:row r="10">
      <x:c r="A10" s="26" t="str">
        <x:v>オランダ</x:v>
      </x:c>
      <x:c r="B10" s="26" t="str">
        <x:v>Nathan Aké</x:v>
      </x:c>
      <x:c r="C10" s="26" t="str">
        <x:v>センターバック</x:v>
      </x:c>
      <x:c r="D10" s="26" t="str">
        <x:v>DF</x:v>
      </x:c>
      <x:c r="E10" s="28" t="n">
        <x:v>31</x:v>
      </x:c>
      <x:c r="F10" s="30" t="n">
        <x:v>12</x:v>
      </x:c>
      <x:c r="G10" s="26" t="str">
        <x:v>2025/26</x:v>
      </x:c>
      <x:c r="H10" s="26" t="str">
        <x:v>Premier League</x:v>
      </x:c>
      <x:c r="I10" s="26" t="str">
        <x:v>Manchester City</x:v>
      </x:c>
      <x:c r="J10" s="28" t="n">
        <x:v>18</x:v>
      </x:c>
      <x:c r="K10" s="28" t="n">
        <x:v>6</x:v>
      </x:c>
      <x:c r="L10" s="28" t="n">
        <x:v>695</x:v>
      </x:c>
      <x:c r="M10" s="28" t="n">
        <x:v>0</x:v>
      </x:c>
      <x:c r="N10" s="28" t="n">
        <x:v>0</x:v>
      </x:c>
      <x:c r="O10" s="28" t="n">
        <x:f>IF(COUNT(M10:N10)&lt;2,"",SUM(M10:N10))</x:f>
        <x:v>0</x:v>
      </x:c>
      <x:c r="P10" s="32" t="n">
        <x:f>IF(OR(COUNT(L10)=0,L10=0,COUNT(O10)=0),"",O10*90/L10)</x:f>
        <x:v>0</x:v>
      </x:c>
      <x:c r="Q10" s="26" t="str">
        <x:v>完全</x:v>
      </x:c>
      <x:c r="R10" s="26" t="str">
        <x:v>https://www.transfermarkt.us/netherlands/kader/verein/3379</x:v>
      </x:c>
      <x:c r="S10" s="26" t="str">
        <x:v>FBref</x:v>
      </x:c>
      <x:c r="T10" s="26" t="str">
        <x:v>https://fbref.com/en/players/eaeca114/Nathan-Ake</x:v>
      </x:c>
      <x:c r="U10" s="26"/>
    </x:row>
    <x:row r="11">
      <x:c r="A11" s="26" t="str">
        <x:v>オランダ</x:v>
      </x:c>
      <x:c r="B11" s="26" t="str">
        <x:v>Jorrel Hato</x:v>
      </x:c>
      <x:c r="C11" s="26" t="str">
        <x:v>左サイドバック</x:v>
      </x:c>
      <x:c r="D11" s="26" t="str">
        <x:v>DF</x:v>
      </x:c>
      <x:c r="E11" s="28" t="n">
        <x:v>20</x:v>
      </x:c>
      <x:c r="F11" s="30" t="n">
        <x:v>40</x:v>
      </x:c>
      <x:c r="G11" s="26" t="str">
        <x:v>2025/26</x:v>
      </x:c>
      <x:c r="H11" s="26" t="str">
        <x:v>Premier League</x:v>
      </x:c>
      <x:c r="I11" s="26" t="str">
        <x:v>Chelsea</x:v>
      </x:c>
      <x:c r="J11" s="28" t="n">
        <x:v>22</x:v>
      </x:c>
      <x:c r="K11" s="28" t="n">
        <x:v>12</x:v>
      </x:c>
      <x:c r="L11" s="28" t="n">
        <x:v>1143</x:v>
      </x:c>
      <x:c r="M11" s="28" t="n">
        <x:v>0</x:v>
      </x:c>
      <x:c r="N11" s="28" t="n">
        <x:v>0</x:v>
      </x:c>
      <x:c r="O11" s="28" t="n">
        <x:f>IF(COUNT(M11:N11)&lt;2,"",SUM(M11:N11))</x:f>
        <x:v>0</x:v>
      </x:c>
      <x:c r="P11" s="32" t="n">
        <x:f>IF(OR(COUNT(L11)=0,L11=0,COUNT(O11)=0),"",O11*90/L11)</x:f>
        <x:v>0</x:v>
      </x:c>
      <x:c r="Q11" s="26" t="str">
        <x:v>完全</x:v>
      </x:c>
      <x:c r="R11" s="26" t="str">
        <x:v>https://www.transfermarkt.us/netherlands/kader/verein/3379</x:v>
      </x:c>
      <x:c r="S11" s="26" t="str">
        <x:v>FBref</x:v>
      </x:c>
      <x:c r="T11" s="26" t="str">
        <x:v>https://fbref.com/en/search/search.fcgi?search=Jorrel+Hato</x:v>
      </x:c>
      <x:c r="U11" s="26"/>
    </x:row>
    <x:row r="12">
      <x:c r="A12" s="26" t="str">
        <x:v>オランダ</x:v>
      </x:c>
      <x:c r="B12" s="26" t="str">
        <x:v>Mats Wieffer</x:v>
      </x:c>
      <x:c r="C12" s="26" t="str">
        <x:v>右サイドバック</x:v>
      </x:c>
      <x:c r="D12" s="26" t="str">
        <x:v>DF</x:v>
      </x:c>
      <x:c r="E12" s="28" t="n">
        <x:v>26</x:v>
      </x:c>
      <x:c r="F12" s="30" t="n">
        <x:v>25</x:v>
      </x:c>
      <x:c r="G12" s="26" t="str">
        <x:v>2025/26</x:v>
      </x:c>
      <x:c r="H12" s="26" t="str">
        <x:v>Premier League</x:v>
      </x:c>
      <x:c r="I12" s="26" t="str">
        <x:v>Brighton</x:v>
      </x:c>
      <x:c r="J12" s="28" t="n">
        <x:v>26</x:v>
      </x:c>
      <x:c r="K12" s="28" t="n">
        <x:v>23</x:v>
      </x:c>
      <x:c r="L12" s="28" t="n">
        <x:v>1909</x:v>
      </x:c>
      <x:c r="M12" s="28" t="n">
        <x:v>2</x:v>
      </x:c>
      <x:c r="N12" s="28" t="n">
        <x:v>3</x:v>
      </x:c>
      <x:c r="O12" s="28" t="n">
        <x:f>IF(COUNT(M12:N12)&lt;2,"",SUM(M12:N12))</x:f>
        <x:v>5</x:v>
      </x:c>
      <x:c r="P12" s="32" t="n">
        <x:f>IF(OR(COUNT(L12)=0,L12=0,COUNT(O12)=0),"",O12*90/L12)</x:f>
        <x:v>0.2357255107386066</x:v>
      </x:c>
      <x:c r="Q12" s="26" t="str">
        <x:v>完全</x:v>
      </x:c>
      <x:c r="R12" s="26" t="str">
        <x:v>https://www.transfermarkt.us/netherlands/kader/verein/3379</x:v>
      </x:c>
      <x:c r="S12" s="26" t="str">
        <x:v>FBref</x:v>
      </x:c>
      <x:c r="T12" s="26" t="str">
        <x:v>https://fbref.com/en/search/search.fcgi?search=Mats+Wieffer</x:v>
      </x:c>
      <x:c r="U12" s="26"/>
    </x:row>
    <x:row r="13">
      <x:c r="A13" s="26" t="str">
        <x:v>オランダ</x:v>
      </x:c>
      <x:c r="B13" s="26" t="str">
        <x:v>Denzel Dumfries</x:v>
      </x:c>
      <x:c r="C13" s="26" t="str">
        <x:v>右サイドバック</x:v>
      </x:c>
      <x:c r="D13" s="26" t="str">
        <x:v>DF</x:v>
      </x:c>
      <x:c r="E13" s="28" t="n">
        <x:v>30</x:v>
      </x:c>
      <x:c r="F13" s="30" t="n">
        <x:v>25</x:v>
      </x:c>
      <x:c r="G13" s="26" t="str">
        <x:v>2025/26</x:v>
      </x:c>
      <x:c r="H13" s="26" t="str">
        <x:v>Serie A</x:v>
      </x:c>
      <x:c r="I13" s="26" t="str">
        <x:v>Inter</x:v>
      </x:c>
      <x:c r="J13" s="28" t="n">
        <x:v>20</x:v>
      </x:c>
      <x:c r="K13" s="28" t="n">
        <x:v>15</x:v>
      </x:c>
      <x:c r="L13" s="28" t="n">
        <x:v>1327</x:v>
      </x:c>
      <x:c r="M13" s="28" t="n">
        <x:v>3</x:v>
      </x:c>
      <x:c r="N13" s="28" t="n">
        <x:v>1</x:v>
      </x:c>
      <x:c r="O13" s="28" t="n">
        <x:f>IF(COUNT(M13:N13)&lt;2,"",SUM(M13:N13))</x:f>
        <x:v>4</x:v>
      </x:c>
      <x:c r="P13" s="32" t="n">
        <x:f>IF(OR(COUNT(L13)=0,L13=0,COUNT(O13)=0),"",O13*90/L13)</x:f>
        <x:v>0.2712886209495102</x:v>
      </x:c>
      <x:c r="Q13" s="26" t="str">
        <x:v>完全</x:v>
      </x:c>
      <x:c r="R13" s="26" t="str">
        <x:v>https://www.transfermarkt.us/netherlands/kader/verein/3379</x:v>
      </x:c>
      <x:c r="S13" s="26" t="str">
        <x:v>FBref</x:v>
      </x:c>
      <x:c r="T13" s="26" t="str">
        <x:v>https://fbref.com/en/search/search.fcgi?search=Denzel+Dumfries</x:v>
      </x:c>
      <x:c r="U13" s="26"/>
    </x:row>
    <x:row r="14">
      <x:c r="A14" s="26" t="str">
        <x:v>オランダ</x:v>
      </x:c>
      <x:c r="B14" s="26" t="str">
        <x:v>Lutsharel Geertruida</x:v>
      </x:c>
      <x:c r="C14" s="26" t="str">
        <x:v>右サイドバック</x:v>
      </x:c>
      <x:c r="D14" s="26" t="str">
        <x:v>DF</x:v>
      </x:c>
      <x:c r="E14" s="28" t="n">
        <x:v>25</x:v>
      </x:c>
      <x:c r="F14" s="30" t="n">
        <x:v>20</x:v>
      </x:c>
      <x:c r="G14" s="26" t="str">
        <x:v>2025/26</x:v>
      </x:c>
      <x:c r="H14" s="26" t="str">
        <x:v>Premier League</x:v>
      </x:c>
      <x:c r="I14" s="26" t="str">
        <x:v>Sunderland</x:v>
      </x:c>
      <x:c r="J14" s="28" t="n">
        <x:v>28</x:v>
      </x:c>
      <x:c r="K14" s="28" t="n">
        <x:v>17</x:v>
      </x:c>
      <x:c r="L14" s="28" t="n">
        <x:v>1685</x:v>
      </x:c>
      <x:c r="M14" s="28" t="n">
        <x:v>0</x:v>
      </x:c>
      <x:c r="N14" s="28" t="n">
        <x:v>0</x:v>
      </x:c>
      <x:c r="O14" s="28" t="n">
        <x:f>IF(COUNT(M14:N14)&lt;2,"",SUM(M14:N14))</x:f>
        <x:v>0</x:v>
      </x:c>
      <x:c r="P14" s="32" t="n">
        <x:f>IF(OR(COUNT(L14)=0,L14=0,COUNT(O14)=0),"",O14*90/L14)</x:f>
        <x:v>0</x:v>
      </x:c>
      <x:c r="Q14" s="26" t="str">
        <x:v>完全</x:v>
      </x:c>
      <x:c r="R14" s="26" t="str">
        <x:v>https://www.transfermarkt.us/netherlands/kader/verein/3379</x:v>
      </x:c>
      <x:c r="S14" s="26" t="str">
        <x:v>FBref</x:v>
      </x:c>
      <x:c r="T14" s="26" t="str">
        <x:v>https://fbref.com/en/search/search.fcgi?search=Lutsharel+Geertruida</x:v>
      </x:c>
      <x:c r="U14" s="26"/>
    </x:row>
    <x:row r="15">
      <x:c r="A15" s="26" t="str">
        <x:v>オランダ</x:v>
      </x:c>
      <x:c r="B15" s="26" t="str">
        <x:v>Ryan Gravenberch</x:v>
      </x:c>
      <x:c r="C15" s="26" t="str">
        <x:v>守備的MF</x:v>
      </x:c>
      <x:c r="D15" s="26" t="str">
        <x:v>MF</x:v>
      </x:c>
      <x:c r="E15" s="28" t="n">
        <x:v>24</x:v>
      </x:c>
      <x:c r="F15" s="30" t="n">
        <x:v>80</x:v>
      </x:c>
      <x:c r="G15" s="26" t="str">
        <x:v>2025/26</x:v>
      </x:c>
      <x:c r="H15" s="26" t="str">
        <x:v>Premier League</x:v>
      </x:c>
      <x:c r="I15" s="26" t="str">
        <x:v>Liverpool</x:v>
      </x:c>
      <x:c r="J15" s="28" t="n">
        <x:v>36</x:v>
      </x:c>
      <x:c r="K15" s="28" t="n">
        <x:v>34</x:v>
      </x:c>
      <x:c r="L15" s="28" t="n">
        <x:v>2996</x:v>
      </x:c>
      <x:c r="M15" s="28" t="n">
        <x:v>5</x:v>
      </x:c>
      <x:c r="N15" s="28" t="n">
        <x:v>3</x:v>
      </x:c>
      <x:c r="O15" s="28" t="n">
        <x:f>IF(COUNT(M15:N15)&lt;2,"",SUM(M15:N15))</x:f>
        <x:v>8</x:v>
      </x:c>
      <x:c r="P15" s="32" t="n">
        <x:f>IF(OR(COUNT(L15)=0,L15=0,COUNT(O15)=0),"",O15*90/L15)</x:f>
        <x:v>0.24032042723631508</x:v>
      </x:c>
      <x:c r="Q15" s="26" t="str">
        <x:v>完全</x:v>
      </x:c>
      <x:c r="R15" s="26" t="str">
        <x:v>https://www.transfermarkt.us/netherlands/kader/verein/3379</x:v>
      </x:c>
      <x:c r="S15" s="26" t="str">
        <x:v>FBref</x:v>
      </x:c>
      <x:c r="T15" s="26" t="str">
        <x:v>https://fbref.com/en/search/search.fcgi?search=Ryan+Gravenberch</x:v>
      </x:c>
      <x:c r="U15" s="26"/>
    </x:row>
    <x:row r="16">
      <x:c r="A16" s="26" t="str">
        <x:v>オランダ</x:v>
      </x:c>
      <x:c r="B16" s="26" t="str">
        <x:v>Teun Koopmeiners</x:v>
      </x:c>
      <x:c r="C16" s="26" t="str">
        <x:v>守備的MF</x:v>
      </x:c>
      <x:c r="D16" s="26" t="str">
        <x:v>MF</x:v>
      </x:c>
      <x:c r="E16" s="28" t="n">
        <x:v>28</x:v>
      </x:c>
      <x:c r="F16" s="30" t="n">
        <x:v>14</x:v>
      </x:c>
      <x:c r="G16" s="26" t="str">
        <x:v>2025/26</x:v>
      </x:c>
      <x:c r="H16" s="26" t="str">
        <x:v>Serie A</x:v>
      </x:c>
      <x:c r="I16" s="26" t="str">
        <x:v>Juventus</x:v>
      </x:c>
      <x:c r="J16" s="28" t="n">
        <x:v>33</x:v>
      </x:c>
      <x:c r="K16" s="28" t="n">
        <x:v>18</x:v>
      </x:c>
      <x:c r="L16" s="28" t="n">
        <x:v>1827</x:v>
      </x:c>
      <x:c r="M16" s="28" t="n">
        <x:v>0</x:v>
      </x:c>
      <x:c r="N16" s="28" t="n">
        <x:v>0</x:v>
      </x:c>
      <x:c r="O16" s="28" t="n">
        <x:f>IF(COUNT(M16:N16)&lt;2,"",SUM(M16:N16))</x:f>
        <x:v>0</x:v>
      </x:c>
      <x:c r="P16" s="32" t="n">
        <x:f>IF(OR(COUNT(L16)=0,L16=0,COUNT(O16)=0),"",O16*90/L16)</x:f>
        <x:v>0</x:v>
      </x:c>
      <x:c r="Q16" s="26" t="str">
        <x:v>完全</x:v>
      </x:c>
      <x:c r="R16" s="26" t="str">
        <x:v>https://www.transfermarkt.us/netherlands/kader/verein/3379</x:v>
      </x:c>
      <x:c r="S16" s="26" t="str">
        <x:v>FBref</x:v>
      </x:c>
      <x:c r="T16" s="26" t="str">
        <x:v>https://fbref.com/en/players/a26fb8aa/</x:v>
      </x:c>
      <x:c r="U16" s="26"/>
    </x:row>
    <x:row r="17">
      <x:c r="A17" s="26" t="str">
        <x:v>オランダ</x:v>
      </x:c>
      <x:c r="B17" s="26" t="str">
        <x:v>Marten de Roon</x:v>
      </x:c>
      <x:c r="C17" s="26" t="str">
        <x:v>守備的MF</x:v>
      </x:c>
      <x:c r="D17" s="26" t="str">
        <x:v>MF</x:v>
      </x:c>
      <x:c r="E17" s="28" t="n">
        <x:v>35</x:v>
      </x:c>
      <x:c r="F17" s="30" t="n">
        <x:v>3.2</x:v>
      </x:c>
      <x:c r="G17" s="26" t="str">
        <x:v>2025/26</x:v>
      </x:c>
      <x:c r="H17" s="26" t="str">
        <x:v>Serie A</x:v>
      </x:c>
      <x:c r="I17" s="26" t="str">
        <x:v>Atalanta</x:v>
      </x:c>
      <x:c r="J17" s="28" t="n">
        <x:v>34</x:v>
      </x:c>
      <x:c r="K17" s="28" t="n">
        <x:v>32</x:v>
      </x:c>
      <x:c r="L17" s="28" t="n">
        <x:v>2691</x:v>
      </x:c>
      <x:c r="M17" s="28" t="n">
        <x:v>1</x:v>
      </x:c>
      <x:c r="N17" s="28" t="n">
        <x:v>2</x:v>
      </x:c>
      <x:c r="O17" s="28" t="n">
        <x:f>IF(COUNT(M17:N17)&lt;2,"",SUM(M17:N17))</x:f>
        <x:v>3</x:v>
      </x:c>
      <x:c r="P17" s="32" t="n">
        <x:f>IF(OR(COUNT(L17)=0,L17=0,COUNT(O17)=0),"",O17*90/L17)</x:f>
        <x:v>0.10033444816053512</x:v>
      </x:c>
      <x:c r="Q17" s="26" t="str">
        <x:v>完全</x:v>
      </x:c>
      <x:c r="R17" s="26" t="str">
        <x:v>https://www.transfermarkt.us/netherlands/kader/verein/3379</x:v>
      </x:c>
      <x:c r="S17" s="26" t="str">
        <x:v>FBref</x:v>
      </x:c>
      <x:c r="T17" s="26" t="str">
        <x:v>https://fbref.com/en/players/2a1beb34/</x:v>
      </x:c>
      <x:c r="U17" s="26"/>
    </x:row>
    <x:row r="18">
      <x:c r="A18" s="26" t="str">
        <x:v>オランダ</x:v>
      </x:c>
      <x:c r="B18" s="26" t="str">
        <x:v>Tijjani Reijnders</x:v>
      </x:c>
      <x:c r="C18" s="26" t="str">
        <x:v>セントラルMF</x:v>
      </x:c>
      <x:c r="D18" s="26" t="str">
        <x:v>MF</x:v>
      </x:c>
      <x:c r="E18" s="28" t="n">
        <x:v>27</x:v>
      </x:c>
      <x:c r="F18" s="30" t="n">
        <x:v>50</x:v>
      </x:c>
      <x:c r="G18" s="26" t="str">
        <x:v>2025/26</x:v>
      </x:c>
      <x:c r="H18" s="26" t="str">
        <x:v>Premier League</x:v>
      </x:c>
      <x:c r="I18" s="26" t="str">
        <x:v>Manchester City</x:v>
      </x:c>
      <x:c r="J18" s="28" t="n">
        <x:v>28</x:v>
      </x:c>
      <x:c r="K18" s="28" t="n">
        <x:v>19</x:v>
      </x:c>
      <x:c r="L18" s="28" t="n">
        <x:v>1636</x:v>
      </x:c>
      <x:c r="M18" s="28" t="n">
        <x:v>5</x:v>
      </x:c>
      <x:c r="N18" s="28" t="n">
        <x:v>2</x:v>
      </x:c>
      <x:c r="O18" s="28" t="n">
        <x:f>IF(COUNT(M18:N18)&lt;2,"",SUM(M18:N18))</x:f>
        <x:v>7</x:v>
      </x:c>
      <x:c r="P18" s="32" t="n">
        <x:f>IF(OR(COUNT(L18)=0,L18=0,COUNT(O18)=0),"",O18*90/L18)</x:f>
        <x:v>0.38508557457212717</x:v>
      </x:c>
      <x:c r="Q18" s="26" t="str">
        <x:v>完全</x:v>
      </x:c>
      <x:c r="R18" s="26" t="str">
        <x:v>https://www.transfermarkt.us/netherlands/kader/verein/3379</x:v>
      </x:c>
      <x:c r="S18" s="26" t="str">
        <x:v>FBref</x:v>
      </x:c>
      <x:c r="T18" s="26" t="str">
        <x:v>https://fbref.com/en/search/search.fcgi?search=Tijjani+Reijnders</x:v>
      </x:c>
      <x:c r="U18" s="26"/>
    </x:row>
    <x:row r="19">
      <x:c r="A19" s="26" t="str">
        <x:v>オランダ</x:v>
      </x:c>
      <x:c r="B19" s="26" t="str">
        <x:v>Frenkie de Jong</x:v>
      </x:c>
      <x:c r="C19" s="26" t="str">
        <x:v>セントラルMF</x:v>
      </x:c>
      <x:c r="D19" s="26" t="str">
        <x:v>MF</x:v>
      </x:c>
      <x:c r="E19" s="28" t="n">
        <x:v>29</x:v>
      </x:c>
      <x:c r="F19" s="30" t="n">
        <x:v>35</x:v>
      </x:c>
      <x:c r="G19" s="26" t="str">
        <x:v>2025/26</x:v>
      </x:c>
      <x:c r="H19" s="26" t="str">
        <x:v>La Liga</x:v>
      </x:c>
      <x:c r="I19" s="26" t="str">
        <x:v>Barcelona</x:v>
      </x:c>
      <x:c r="J19" s="28" t="n">
        <x:v>25</x:v>
      </x:c>
      <x:c r="K19" s="28" t="n">
        <x:v>16</x:v>
      </x:c>
      <x:c r="L19" s="28" t="n">
        <x:v>1630</x:v>
      </x:c>
      <x:c r="M19" s="28" t="n">
        <x:v>1</x:v>
      </x:c>
      <x:c r="N19" s="28" t="n">
        <x:v>5</x:v>
      </x:c>
      <x:c r="O19" s="28" t="n">
        <x:f>IF(COUNT(M19:N19)&lt;2,"",SUM(M19:N19))</x:f>
        <x:v>6</x:v>
      </x:c>
      <x:c r="P19" s="32" t="n">
        <x:f>IF(OR(COUNT(L19)=0,L19=0,COUNT(O19)=0),"",O19*90/L19)</x:f>
        <x:v>0.3312883435582822</x:v>
      </x:c>
      <x:c r="Q19" s="26" t="str">
        <x:v>完全</x:v>
      </x:c>
      <x:c r="R19" s="26" t="str">
        <x:v>https://www.transfermarkt.us/netherlands/kader/verein/3379</x:v>
      </x:c>
      <x:c r="S19" s="26" t="str">
        <x:v>FBref</x:v>
      </x:c>
      <x:c r="T19" s="26" t="str">
        <x:v>https://fbref.com/en/search/search.fcgi?search=Frenkie+de+Jong</x:v>
      </x:c>
      <x:c r="U19" s="26"/>
    </x:row>
    <x:row r="20">
      <x:c r="A20" s="26" t="str">
        <x:v>オランダ</x:v>
      </x:c>
      <x:c r="B20" s="26" t="str">
        <x:v>Quinten Timber</x:v>
      </x:c>
      <x:c r="C20" s="26" t="str">
        <x:v>セントラルMF</x:v>
      </x:c>
      <x:c r="D20" s="26" t="str">
        <x:v>MF</x:v>
      </x:c>
      <x:c r="E20" s="28" t="n">
        <x:v>25</x:v>
      </x:c>
      <x:c r="F20" s="30" t="n">
        <x:v>25</x:v>
      </x:c>
      <x:c r="G20" s="26" t="str">
        <x:v>2025/26</x:v>
      </x:c>
      <x:c r="H20" s="26" t="str">
        <x:v>Eredivisie + Ligue 1</x:v>
      </x:c>
      <x:c r="I20" s="26" t="str">
        <x:v>Feyenoord + Marseille</x:v>
      </x:c>
      <x:c r="J20" s="28" t="n">
        <x:v>32</x:v>
      </x:c>
      <x:c r="K20" s="28" t="n">
        <x:v>28</x:v>
      </x:c>
      <x:c r="L20" s="28" t="n">
        <x:v>2430</x:v>
      </x:c>
      <x:c r="M20" s="28" t="n">
        <x:v>2</x:v>
      </x:c>
      <x:c r="N20" s="28" t="n">
        <x:v>4</x:v>
      </x:c>
      <x:c r="O20" s="28" t="n">
        <x:f>IF(COUNT(M20:N20)&lt;2,"",SUM(M20:N20))</x:f>
        <x:v>6</x:v>
      </x:c>
      <x:c r="P20" s="32" t="n">
        <x:f>IF(OR(COUNT(L20)=0,L20=0,COUNT(O20)=0),"",O20*90/L20)</x:f>
        <x:v>0.2222222222222222</x:v>
      </x:c>
      <x:c r="Q20" s="26" t="str">
        <x:v>完全</x:v>
      </x:c>
      <x:c r="R20" s="26" t="str">
        <x:v>https://www.transfermarkt.us/netherlands/kader/verein/3379</x:v>
      </x:c>
      <x:c r="S20" s="26" t="str">
        <x:v>Transfermarkt</x:v>
      </x:c>
      <x:c r="T20" s="26" t="str">
        <x:v>https://www.transfermarkt.com/schnellsuche/ergebnis/schnellsuche?query=Quinten+Timber</x:v>
      </x:c>
      <x:c r="U20" s="26" t="str">
        <x:v>Season aggregate across Feyenoord and Marseille.</x:v>
      </x:c>
    </x:row>
    <x:row r="21">
      <x:c r="A21" s="26" t="str">
        <x:v>オランダ</x:v>
      </x:c>
      <x:c r="B21" s="26" t="str">
        <x:v>Justin Kluivert</x:v>
      </x:c>
      <x:c r="C21" s="26" t="str">
        <x:v>攻撃的MF</x:v>
      </x:c>
      <x:c r="D21" s="26" t="str">
        <x:v>MF</x:v>
      </x:c>
      <x:c r="E21" s="28" t="n">
        <x:v>27</x:v>
      </x:c>
      <x:c r="F21" s="30" t="n">
        <x:v>25</x:v>
      </x:c>
      <x:c r="G21" s="26" t="str">
        <x:v>2025/26</x:v>
      </x:c>
      <x:c r="H21" s="26" t="str">
        <x:v>Premier League</x:v>
      </x:c>
      <x:c r="I21" s="26" t="str">
        <x:v>Bournemouth</x:v>
      </x:c>
      <x:c r="J21" s="28" t="n">
        <x:v>20</x:v>
      </x:c>
      <x:c r="K21" s="28" t="n">
        <x:v>10</x:v>
      </x:c>
      <x:c r="L21" s="28" t="n">
        <x:v>952</x:v>
      </x:c>
      <x:c r="M21" s="28" t="n">
        <x:v>2</x:v>
      </x:c>
      <x:c r="N21" s="28" t="n">
        <x:v>0</x:v>
      </x:c>
      <x:c r="O21" s="28" t="n">
        <x:f>IF(COUNT(M21:N21)&lt;2,"",SUM(M21:N21))</x:f>
        <x:v>2</x:v>
      </x:c>
      <x:c r="P21" s="32" t="n">
        <x:f>IF(OR(COUNT(L21)=0,L21=0,COUNT(O21)=0),"",O21*90/L21)</x:f>
        <x:v>0.18907563025210083</x:v>
      </x:c>
      <x:c r="Q21" s="26" t="str">
        <x:v>完全</x:v>
      </x:c>
      <x:c r="R21" s="26" t="str">
        <x:v>https://www.transfermarkt.us/netherlands/kader/verein/3379</x:v>
      </x:c>
      <x:c r="S21" s="26" t="str">
        <x:v>FBref</x:v>
      </x:c>
      <x:c r="T21" s="26" t="str">
        <x:v>https://fbref.com/en/search/search.fcgi?search=Justin+Kluivert</x:v>
      </x:c>
      <x:c r="U21" s="26"/>
    </x:row>
    <x:row r="22">
      <x:c r="A22" s="26" t="str">
        <x:v>オランダ</x:v>
      </x:c>
      <x:c r="B22" s="26" t="str">
        <x:v>Guus Til</x:v>
      </x:c>
      <x:c r="C22" s="26" t="str">
        <x:v>攻撃的MF</x:v>
      </x:c>
      <x:c r="D22" s="26" t="str">
        <x:v>MF</x:v>
      </x:c>
      <x:c r="E22" s="28" t="n">
        <x:v>28</x:v>
      </x:c>
      <x:c r="F22" s="30" t="n">
        <x:v>15</x:v>
      </x:c>
      <x:c r="G22" s="26" t="str">
        <x:v>2025/26</x:v>
      </x:c>
      <x:c r="H22" s="26" t="str">
        <x:v>Eredivisie</x:v>
      </x:c>
      <x:c r="I22" s="26" t="str">
        <x:v>PSV</x:v>
      </x:c>
      <x:c r="J22" s="28" t="n">
        <x:v>29</x:v>
      </x:c>
      <x:c r="K22" s="28" t="n">
        <x:v>25</x:v>
      </x:c>
      <x:c r="L22" s="28" t="n">
        <x:v>2249</x:v>
      </x:c>
      <x:c r="M22" s="28" t="n">
        <x:v>14</x:v>
      </x:c>
      <x:c r="N22" s="28" t="n">
        <x:v>4</x:v>
      </x:c>
      <x:c r="O22" s="28" t="n">
        <x:f>IF(COUNT(M22:N22)&lt;2,"",SUM(M22:N22))</x:f>
        <x:v>18</x:v>
      </x:c>
      <x:c r="P22" s="32" t="n">
        <x:f>IF(OR(COUNT(L22)=0,L22=0,COUNT(O22)=0),"",O22*90/L22)</x:f>
        <x:v>0.7203201422854602</x:v>
      </x:c>
      <x:c r="Q22" s="26" t="str">
        <x:v>完全</x:v>
      </x:c>
      <x:c r="R22" s="26" t="str">
        <x:v>https://www.transfermarkt.us/netherlands/kader/verein/3379</x:v>
      </x:c>
      <x:c r="S22" s="26" t="str">
        <x:v>Transfermarkt</x:v>
      </x:c>
      <x:c r="T22" s="26" t="str">
        <x:v>https://www.transfermarkt.com/schnellsuche/ergebnis/schnellsuche?query=Guus+Til</x:v>
      </x:c>
      <x:c r="U22" s="26"/>
    </x:row>
    <x:row r="23">
      <x:c r="A23" s="26" t="str">
        <x:v>オランダ</x:v>
      </x:c>
      <x:c r="B23" s="26" t="str">
        <x:v>Cody Gakpo</x:v>
      </x:c>
      <x:c r="C23" s="26" t="str">
        <x:v>左ウイング</x:v>
      </x:c>
      <x:c r="D23" s="26" t="str">
        <x:v>FW</x:v>
      </x:c>
      <x:c r="E23" s="28" t="n">
        <x:v>27</x:v>
      </x:c>
      <x:c r="F23" s="30" t="n">
        <x:v>60</x:v>
      </x:c>
      <x:c r="G23" s="26" t="str">
        <x:v>2025/26</x:v>
      </x:c>
      <x:c r="H23" s="26" t="str">
        <x:v>Premier League</x:v>
      </x:c>
      <x:c r="I23" s="26" t="str">
        <x:v>Liverpool</x:v>
      </x:c>
      <x:c r="J23" s="28" t="n">
        <x:v>36</x:v>
      </x:c>
      <x:c r="K23" s="28" t="n">
        <x:v>32</x:v>
      </x:c>
      <x:c r="L23" s="28" t="n">
        <x:v>2749</x:v>
      </x:c>
      <x:c r="M23" s="28" t="n">
        <x:v>7</x:v>
      </x:c>
      <x:c r="N23" s="28" t="n">
        <x:v>5</x:v>
      </x:c>
      <x:c r="O23" s="28" t="n">
        <x:f>IF(COUNT(M23:N23)&lt;2,"",SUM(M23:N23))</x:f>
        <x:v>12</x:v>
      </x:c>
      <x:c r="P23" s="32" t="n">
        <x:f>IF(OR(COUNT(L23)=0,L23=0,COUNT(O23)=0),"",O23*90/L23)</x:f>
        <x:v>0.39287013459439796</x:v>
      </x:c>
      <x:c r="Q23" s="26" t="str">
        <x:v>完全</x:v>
      </x:c>
      <x:c r="R23" s="26" t="str">
        <x:v>https://www.transfermarkt.us/netherlands/kader/verein/3379</x:v>
      </x:c>
      <x:c r="S23" s="26" t="str">
        <x:v>FBref</x:v>
      </x:c>
      <x:c r="T23" s="26" t="str">
        <x:v>https://fbref.com/en/search/search.fcgi?search=Cody+Gakpo</x:v>
      </x:c>
      <x:c r="U23" s="26"/>
    </x:row>
    <x:row r="24">
      <x:c r="A24" s="26" t="str">
        <x:v>オランダ</x:v>
      </x:c>
      <x:c r="B24" s="26" t="str">
        <x:v>Crysencio Summerville</x:v>
      </x:c>
      <x:c r="C24" s="26" t="str">
        <x:v>左ウイング</x:v>
      </x:c>
      <x:c r="D24" s="26" t="str">
        <x:v>FW</x:v>
      </x:c>
      <x:c r="E24" s="28" t="n">
        <x:v>24</x:v>
      </x:c>
      <x:c r="F24" s="30" t="n">
        <x:v>35</x:v>
      </x:c>
      <x:c r="G24" s="26" t="str">
        <x:v>2025/26</x:v>
      </x:c>
      <x:c r="H24" s="26" t="str">
        <x:v>Premier League</x:v>
      </x:c>
      <x:c r="I24" s="26" t="str">
        <x:v>West Ham</x:v>
      </x:c>
      <x:c r="J24" s="28" t="n">
        <x:v>31</x:v>
      </x:c>
      <x:c r="K24" s="28" t="n">
        <x:v>29</x:v>
      </x:c>
      <x:c r="L24" s="28" t="n">
        <x:v>2483</x:v>
      </x:c>
      <x:c r="M24" s="28" t="n">
        <x:v>5</x:v>
      </x:c>
      <x:c r="N24" s="28" t="n">
        <x:v>2</x:v>
      </x:c>
      <x:c r="O24" s="28" t="n">
        <x:f>IF(COUNT(M24:N24)&lt;2,"",SUM(M24:N24))</x:f>
        <x:v>7</x:v>
      </x:c>
      <x:c r="P24" s="32" t="n">
        <x:f>IF(OR(COUNT(L24)=0,L24=0,COUNT(O24)=0),"",O24*90/L24)</x:f>
        <x:v>0.25372533225936367</x:v>
      </x:c>
      <x:c r="Q24" s="26" t="str">
        <x:v>完全</x:v>
      </x:c>
      <x:c r="R24" s="26" t="str">
        <x:v>https://www.transfermarkt.us/netherlands/kader/verein/3379</x:v>
      </x:c>
      <x:c r="S24" s="26" t="str">
        <x:v>FBref</x:v>
      </x:c>
      <x:c r="T24" s="26" t="str">
        <x:v>https://fbref.com/en/search/search.fcgi?search=Crysencio+Summerville</x:v>
      </x:c>
      <x:c r="U24" s="26"/>
    </x:row>
    <x:row r="25">
      <x:c r="A25" s="26" t="str">
        <x:v>オランダ</x:v>
      </x:c>
      <x:c r="B25" s="26" t="str">
        <x:v>Noa Lang</x:v>
      </x:c>
      <x:c r="C25" s="26" t="str">
        <x:v>左ウイング</x:v>
      </x:c>
      <x:c r="D25" s="26" t="str">
        <x:v>FW</x:v>
      </x:c>
      <x:c r="E25" s="28" t="n">
        <x:v>27</x:v>
      </x:c>
      <x:c r="F25" s="30" t="n">
        <x:v>22</x:v>
      </x:c>
      <x:c r="G25" s="26" t="str">
        <x:v>2025/26</x:v>
      </x:c>
      <x:c r="H25" s="26" t="str">
        <x:v>Serie A + Süper Lig</x:v>
      </x:c>
      <x:c r="I25" s="26" t="str">
        <x:v>Napoli + Galatasaray</x:v>
      </x:c>
      <x:c r="J25" s="28" t="n">
        <x:v>31</x:v>
      </x:c>
      <x:c r="K25" s="28" t="n">
        <x:v>14</x:v>
      </x:c>
      <x:c r="L25" s="28" t="n">
        <x:v>1364</x:v>
      </x:c>
      <x:c r="M25" s="28" t="n">
        <x:v>1</x:v>
      </x:c>
      <x:c r="N25" s="28" t="n">
        <x:v>5</x:v>
      </x:c>
      <x:c r="O25" s="28" t="n">
        <x:f>IF(COUNT(M25:N25)&lt;2,"",SUM(M25:N25))</x:f>
        <x:v>6</x:v>
      </x:c>
      <x:c r="P25" s="32" t="n">
        <x:f>IF(OR(COUNT(L25)=0,L25=0,COUNT(O25)=0),"",O25*90/L25)</x:f>
        <x:v>0.39589442815249265</x:v>
      </x:c>
      <x:c r="Q25" s="26" t="str">
        <x:v>完全</x:v>
      </x:c>
      <x:c r="R25" s="26" t="str">
        <x:v>https://www.transfermarkt.us/netherlands/kader/verein/3379</x:v>
      </x:c>
      <x:c r="S25" s="26" t="str">
        <x:v>Opta Analyst</x:v>
      </x:c>
      <x:c r="T25" s="26" t="str">
        <x:v>https://theanalyst.com/players/6496/noa-lang/career</x:v>
      </x:c>
      <x:c r="U25" s="26" t="str">
        <x:v>Season aggregate: Napoli 18 apps + Galatasaray 13 apps.</x:v>
      </x:c>
    </x:row>
    <x:row r="26">
      <x:c r="A26" s="26" t="str">
        <x:v>オランダ</x:v>
      </x:c>
      <x:c r="B26" s="26" t="str">
        <x:v>Donyell Malen</x:v>
      </x:c>
      <x:c r="C26" s="26" t="str">
        <x:v>センターフォワード</x:v>
      </x:c>
      <x:c r="D26" s="26" t="str">
        <x:v>FW</x:v>
      </x:c>
      <x:c r="E26" s="28" t="n">
        <x:v>27</x:v>
      </x:c>
      <x:c r="F26" s="30" t="n">
        <x:v>45</x:v>
      </x:c>
      <x:c r="G26" s="26" t="str">
        <x:v>2025/26</x:v>
      </x:c>
      <x:c r="H26" s="26" t="str">
        <x:v>Premier League + Serie A</x:v>
      </x:c>
      <x:c r="I26" s="26" t="str">
        <x:v>Aston Villa + Roma</x:v>
      </x:c>
      <x:c r="J26" s="28" t="n">
        <x:v>39</x:v>
      </x:c>
      <x:c r="K26" s="28" t="n">
        <x:v>23</x:v>
      </x:c>
      <x:c r="L26" s="28" t="n">
        <x:v>2122</x:v>
      </x:c>
      <x:c r="M26" s="28" t="n">
        <x:v>18</x:v>
      </x:c>
      <x:c r="N26" s="28" t="n">
        <x:v>3</x:v>
      </x:c>
      <x:c r="O26" s="28" t="n">
        <x:f>IF(COUNT(M26:N26)&lt;2,"",SUM(M26:N26))</x:f>
        <x:v>21</x:v>
      </x:c>
      <x:c r="P26" s="32" t="n">
        <x:f>IF(OR(COUNT(L26)=0,L26=0,COUNT(O26)=0),"",O26*90/L26)</x:f>
        <x:v>0.8906691800188501</x:v>
      </x:c>
      <x:c r="Q26" s="26" t="str">
        <x:v>完全</x:v>
      </x:c>
      <x:c r="R26" s="26" t="str">
        <x:v>https://www.transfermarkt.us/netherlands/kader/verein/3379</x:v>
      </x:c>
      <x:c r="S26" s="26" t="str">
        <x:v>Transfermarkt</x:v>
      </x:c>
      <x:c r="T26" s="26" t="str">
        <x:v>https://www.transfermarkt.com/schnellsuche/ergebnis/schnellsuche?query=Donyell+Malen</x:v>
      </x:c>
      <x:c r="U26" s="26" t="str">
        <x:v>Season aggregate across Aston Villa and Roma.</x:v>
      </x:c>
    </x:row>
    <x:row r="27">
      <x:c r="A27" s="26" t="str">
        <x:v>オランダ</x:v>
      </x:c>
      <x:c r="B27" s="26" t="str">
        <x:v>Brian Brobbey</x:v>
      </x:c>
      <x:c r="C27" s="26" t="str">
        <x:v>センターフォワード</x:v>
      </x:c>
      <x:c r="D27" s="26" t="str">
        <x:v>FW</x:v>
      </x:c>
      <x:c r="E27" s="28" t="n">
        <x:v>24</x:v>
      </x:c>
      <x:c r="F27" s="30" t="n">
        <x:v>30</x:v>
      </x:c>
      <x:c r="G27" s="26" t="str">
        <x:v>2025/26</x:v>
      </x:c>
      <x:c r="H27" s="26" t="str">
        <x:v>Premier League</x:v>
      </x:c>
      <x:c r="I27" s="26" t="str">
        <x:v>Sunderland</x:v>
      </x:c>
      <x:c r="J27" s="28" t="n">
        <x:v>31</x:v>
      </x:c>
      <x:c r="K27" s="28" t="n">
        <x:v>22</x:v>
      </x:c>
      <x:c r="L27" s="28" t="n">
        <x:v>1933</x:v>
      </x:c>
      <x:c r="M27" s="28" t="n">
        <x:v>7</x:v>
      </x:c>
      <x:c r="N27" s="28" t="n">
        <x:v>1</x:v>
      </x:c>
      <x:c r="O27" s="28" t="n">
        <x:f>IF(COUNT(M27:N27)&lt;2,"",SUM(M27:N27))</x:f>
        <x:v>8</x:v>
      </x:c>
      <x:c r="P27" s="32" t="n">
        <x:f>IF(OR(COUNT(L27)=0,L27=0,COUNT(O27)=0),"",O27*90/L27)</x:f>
        <x:v>0.37247801345059495</x:v>
      </x:c>
      <x:c r="Q27" s="26" t="str">
        <x:v>完全</x:v>
      </x:c>
      <x:c r="R27" s="26" t="str">
        <x:v>https://www.transfermarkt.us/netherlands/kader/verein/3379</x:v>
      </x:c>
      <x:c r="S27" s="26" t="str">
        <x:v>FBref</x:v>
      </x:c>
      <x:c r="T27" s="26" t="str">
        <x:v>https://fbref.com/en/search/search.fcgi?search=Brian+Brobbey</x:v>
      </x:c>
      <x:c r="U27" s="26"/>
    </x:row>
    <x:row r="28">
      <x:c r="A28" s="26" t="str">
        <x:v>オランダ</x:v>
      </x:c>
      <x:c r="B28" s="26" t="str">
        <x:v>Memphis Depay</x:v>
      </x:c>
      <x:c r="C28" s="26" t="str">
        <x:v>センターフォワード</x:v>
      </x:c>
      <x:c r="D28" s="26" t="str">
        <x:v>FW</x:v>
      </x:c>
      <x:c r="E28" s="28" t="n">
        <x:v>32</x:v>
      </x:c>
      <x:c r="F28" s="30" t="n">
        <x:v>7</x:v>
      </x:c>
      <x:c r="G28" s="26" t="str">
        <x:v>2025</x:v>
      </x:c>
      <x:c r="H28" s="26" t="str">
        <x:v>Brazil Série A</x:v>
      </x:c>
      <x:c r="I28" s="26" t="str">
        <x:v>Corinthians</x:v>
      </x:c>
      <x:c r="J28" s="28" t="n">
        <x:v>23</x:v>
      </x:c>
      <x:c r="K28" s="28" t="n">
        <x:v>17</x:v>
      </x:c>
      <x:c r="L28" s="28" t="n">
        <x:v>1544</x:v>
      </x:c>
      <x:c r="M28" s="28" t="n">
        <x:v>6</x:v>
      </x:c>
      <x:c r="N28" s="28" t="n">
        <x:v>3</x:v>
      </x:c>
      <x:c r="O28" s="28" t="n">
        <x:f>IF(COUNT(M28:N28)&lt;2,"",SUM(M28:N28))</x:f>
        <x:v>9</x:v>
      </x:c>
      <x:c r="P28" s="32" t="n">
        <x:f>IF(OR(COUNT(L28)=0,L28=0,COUNT(O28)=0),"",O28*90/L28)</x:f>
        <x:v>0.5246113989637305</x:v>
      </x:c>
      <x:c r="Q28" s="26" t="str">
        <x:v>完全</x:v>
      </x:c>
      <x:c r="R28" s="26" t="str">
        <x:v>https://www.transfermarkt.us/netherlands/kader/verein/3379</x:v>
      </x:c>
      <x:c r="S28" s="26" t="str">
        <x:v>FBref</x:v>
      </x:c>
      <x:c r="T28" s="26" t="str">
        <x:v>https://fbref.com/en/players/8f696594/Memphis-Depay</x:v>
      </x:c>
      <x:c r="U28" s="26" t="str">
        <x:v>Calendar-year league; 2025 used as latest completed Série A season.</x:v>
      </x:c>
    </x:row>
    <x:row r="29">
      <x:c r="A29" s="26" t="str">
        <x:v>オランダ</x:v>
      </x:c>
      <x:c r="B29" s="26" t="str">
        <x:v>Wout Weghorst</x:v>
      </x:c>
      <x:c r="C29" s="26" t="str">
        <x:v>センターフォワード</x:v>
      </x:c>
      <x:c r="D29" s="26" t="str">
        <x:v>FW</x:v>
      </x:c>
      <x:c r="E29" s="28" t="n">
        <x:v>33</x:v>
      </x:c>
      <x:c r="F29" s="30" t="n">
        <x:v>2</x:v>
      </x:c>
      <x:c r="G29" s="26" t="str">
        <x:v>2025/26</x:v>
      </x:c>
      <x:c r="H29" s="26" t="str">
        <x:v>Eredivisie</x:v>
      </x:c>
      <x:c r="I29" s="26" t="str">
        <x:v>Ajax</x:v>
      </x:c>
      <x:c r="J29" s="28" t="n">
        <x:v>27</x:v>
      </x:c>
      <x:c r="K29" s="28" t="n">
        <x:v>20</x:v>
      </x:c>
      <x:c r="L29" s="28" t="n">
        <x:v>1784</x:v>
      </x:c>
      <x:c r="M29" s="28" t="n">
        <x:v>8</x:v>
      </x:c>
      <x:c r="N29" s="28" t="n">
        <x:v>4</x:v>
      </x:c>
      <x:c r="O29" s="28" t="n">
        <x:f>IF(COUNT(M29:N29)&lt;2,"",SUM(M29:N29))</x:f>
        <x:v>12</x:v>
      </x:c>
      <x:c r="P29" s="32" t="n">
        <x:f>IF(OR(COUNT(L29)=0,L29=0,COUNT(O29)=0),"",O29*90/L29)</x:f>
        <x:v>0.6053811659192825</x:v>
      </x:c>
      <x:c r="Q29" s="26" t="str">
        <x:v>完全</x:v>
      </x:c>
      <x:c r="R29" s="26" t="str">
        <x:v>https://www.transfermarkt.us/netherlands/kader/verein/3379</x:v>
      </x:c>
      <x:c r="S29" s="26" t="str">
        <x:v>FBref</x:v>
      </x:c>
      <x:c r="T29" s="26" t="str">
        <x:v>https://fbref.com/en/players/c4e87b8b/goallogs/all_comps</x:v>
      </x:c>
      <x:c r="U29" s="26"/>
    </x:row>
  </x:sheetData>
  <x:mergeCells>
    <x:mergeCell ref="A1:U1"/>
    <x:mergeCell ref="A2:U2"/>
  </x:mergeCells>
  <x:conditionalFormatting sqref="F4:F2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{EF5D82C3-1E11-B309-2EE6-8F0FA2748E02}</x14:id>
        </x:ext>
      </x:extLst>
    </x:cfRule>
  </x:conditionalFormatting>
  <x:conditionalFormatting sqref="P4:P2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84dcbcbf31349e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5D82C3-1E11-B309-2EE6-8F0FA2748E02}">
            <x14:dataBar gradient="1">
              <x14:cfvo type="min"/>
              <x14:cfvo type="max"/>
              <x14:fillColor rgb="FF4F81BD"/>
            </x14:dataBar>
          </x14:cfRule>
          <xm:sqref>F4:F29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0" hidden="0" customWidth="1"/>
    <x:col min="5" max="5" width="7" hidden="0" customWidth="1"/>
    <x:col min="6" max="6" width="16" hidden="0" customWidth="1"/>
    <x:col min="7" max="7" width="14" hidden="0" customWidth="1"/>
    <x:col min="8" max="8" width="27" hidden="0" customWidth="1"/>
    <x:col min="9" max="9" width="30" hidden="0" customWidth="1"/>
    <x:col min="10" max="10" width="8" hidden="0" customWidth="1"/>
    <x:col min="11" max="11" width="8" hidden="0" customWidth="1"/>
    <x:col min="12" max="12" width="12" hidden="0" customWidth="1"/>
    <x:col min="13" max="13" width="8" hidden="0" customWidth="1"/>
    <x:col min="14" max="14" width="9" hidden="0" customWidth="1"/>
    <x:col min="15" max="15" width="8" hidden="0" customWidth="1"/>
    <x:col min="16" max="16" width="12" hidden="0" customWidth="1"/>
    <x:col min="17" max="17" width="13" hidden="0" customWidth="1"/>
    <x:col min="18" max="18" width="38" hidden="0" customWidth="1"/>
    <x:col min="19" max="19" width="18" hidden="0" customWidth="1"/>
    <x:col min="20" max="20" width="38" hidden="0" customWidth="1"/>
    <x:col min="21" max="21" width="46" hidden="0" customWidth="1"/>
  </x:cols>
  <x:sheetData>
    <x:row r="1" ht="28" customHeight="1">
      <x:c r="A1" s="4" t="str">
        <x:v>チュニジア代表 — 選手データ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2" customHeight="1">
      <x:c r="A2" s="10" t="str">
        <x:v>市場価値と直近リーグ戦スタッツを比較する表示用シートです。選手名・クラブ名・リーグ名は検索互換性のため原表記を維持しています。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36" customHeight="1">
      <x:c r="A3" s="18" t="str">
        <x:v>国</x:v>
      </x:c>
      <x:c r="B3" s="18" t="str">
        <x:v>選手名</x:v>
      </x:c>
      <x:c r="C3" s="18" t="str">
        <x:v>ポジション</x:v>
      </x:c>
      <x:c r="D3" s="18" t="str">
        <x:v>区分</x:v>
      </x:c>
      <x:c r="E3" s="18" t="str">
        <x:v>年齢</x:v>
      </x:c>
      <x:c r="F3" s="18" t="str">
        <x:v>市場価値（百万€）</x:v>
      </x:c>
      <x:c r="G3" s="18" t="str">
        <x:v>対象シーズン</x:v>
      </x:c>
      <x:c r="H3" s="18" t="str">
        <x:v>リーグ</x:v>
      </x:c>
      <x:c r="I3" s="18" t="str">
        <x:v>所属クラブ</x:v>
      </x:c>
      <x:c r="J3" s="18" t="str">
        <x:v>出場</x:v>
      </x:c>
      <x:c r="K3" s="18" t="str">
        <x:v>先発</x:v>
      </x:c>
      <x:c r="L3" s="18" t="str">
        <x:v>出場時間（分）</x:v>
      </x:c>
      <x:c r="M3" s="18" t="str">
        <x:v>得点</x:v>
      </x:c>
      <x:c r="N3" s="18" t="str">
        <x:v>アシスト</x:v>
      </x:c>
      <x:c r="O3" s="18" t="str">
        <x:v>G+A</x:v>
      </x:c>
      <x:c r="P3" s="18" t="str">
        <x:v>90分あたりG+A</x:v>
      </x:c>
      <x:c r="Q3" s="18" t="str">
        <x:v>データ充足度</x:v>
      </x:c>
      <x:c r="R3" s="18" t="str">
        <x:v>市場価値出典URL</x:v>
      </x:c>
      <x:c r="S3" s="18" t="str">
        <x:v>スタッツ出典</x:v>
      </x:c>
      <x:c r="T3" s="18" t="str">
        <x:v>スタッツURL</x:v>
      </x:c>
      <x:c r="U3" s="18" t="str">
        <x:v>備考</x:v>
      </x:c>
    </x:row>
    <x:row r="4">
      <x:c r="A4" s="26" t="str">
        <x:v>チュニジア</x:v>
      </x:c>
      <x:c r="B4" s="26" t="str">
        <x:v>Abdelmouhib Chamakh</x:v>
      </x:c>
      <x:c r="C4" s="26" t="str">
        <x:v>ゴールキーパー</x:v>
      </x:c>
      <x:c r="D4" s="26" t="str">
        <x:v>GK</x:v>
      </x:c>
      <x:c r="E4" s="28" t="n">
        <x:v>24</x:v>
      </x:c>
      <x:c r="F4" s="30" t="n">
        <x:v>0.8</x:v>
      </x:c>
      <x:c r="G4" s="26" t="str">
        <x:v>2025/26</x:v>
      </x:c>
      <x:c r="H4" s="26" t="str">
        <x:v>Tunisian Ligue 1</x:v>
      </x:c>
      <x:c r="I4" s="26" t="str">
        <x:v>Club Africain</x:v>
      </x:c>
      <x:c r="J4" s="28" t="n">
        <x:v>23</x:v>
      </x:c>
      <x:c r="K4" s="28" t="n">
        <x:v>22</x:v>
      </x:c>
      <x:c r="L4" s="28" t="n">
        <x:v>2043</x:v>
      </x:c>
      <x:c r="M4" s="28" t="n">
        <x:v>0</x:v>
      </x:c>
      <x:c r="N4" s="28" t="n">
        <x:v>0</x:v>
      </x:c>
      <x:c r="O4" s="28" t="n">
        <x:f>IF(COUNT(M4:N4)&lt;2,"",SUM(M4:N4))</x:f>
        <x:v>0</x:v>
      </x:c>
      <x:c r="P4" s="32" t="n">
        <x:f>IF(OR(COUNT(L4)=0,L4=0,COUNT(O4)=0),"",O4*90/L4)</x:f>
        <x:v>0</x:v>
      </x:c>
      <x:c r="Q4" s="26" t="str">
        <x:v>完全</x:v>
      </x:c>
      <x:c r="R4" s="26" t="str">
        <x:v>https://www.transfermarkt.us/tunisia/kader/verein/3670/saison_id/2026</x:v>
      </x:c>
      <x:c r="S4" s="26" t="str">
        <x:v>Transfermarkt</x:v>
      </x:c>
      <x:c r="T4" s="26" t="str">
        <x:v>https://www.transfermarkt.com/schnellsuche/ergebnis/schnellsuche?query=Abdelmouhib+Chamakh</x:v>
      </x:c>
      <x:c r="U4" s="26"/>
    </x:row>
    <x:row r="5">
      <x:c r="A5" s="26" t="str">
        <x:v>チュニジア</x:v>
      </x:c>
      <x:c r="B5" s="26" t="str">
        <x:v>Aymen Dahmen</x:v>
      </x:c>
      <x:c r="C5" s="26" t="str">
        <x:v>ゴールキーパー</x:v>
      </x:c>
      <x:c r="D5" s="26" t="str">
        <x:v>GK</x:v>
      </x:c>
      <x:c r="E5" s="28" t="n">
        <x:v>29</x:v>
      </x:c>
      <x:c r="F5" s="30" t="n">
        <x:v>0.8</x:v>
      </x:c>
      <x:c r="G5" s="26" t="str">
        <x:v>2025/26</x:v>
      </x:c>
      <x:c r="H5" s="26" t="str">
        <x:v>Tunisian Ligue 1</x:v>
      </x:c>
      <x:c r="I5" s="26" t="str">
        <x:v>CS Sfaxien</x:v>
      </x:c>
      <x:c r="J5" s="28" t="n">
        <x:v>26</x:v>
      </x:c>
      <x:c r="K5" s="28" t="n">
        <x:v>26</x:v>
      </x:c>
      <x:c r="L5" s="28" t="n">
        <x:v>2340</x:v>
      </x:c>
      <x:c r="M5" s="28" t="n">
        <x:v>0</x:v>
      </x:c>
      <x:c r="N5" s="28" t="n">
        <x:v>0</x:v>
      </x:c>
      <x:c r="O5" s="28" t="n">
        <x:f>IF(COUNT(M5:N5)&lt;2,"",SUM(M5:N5))</x:f>
        <x:v>0</x:v>
      </x:c>
      <x:c r="P5" s="32" t="n">
        <x:f>IF(OR(COUNT(L5)=0,L5=0,COUNT(O5)=0),"",O5*90/L5)</x:f>
        <x:v>0</x:v>
      </x:c>
      <x:c r="Q5" s="26" t="str">
        <x:v>完全</x:v>
      </x:c>
      <x:c r="R5" s="26" t="str">
        <x:v>https://www.transfermarkt.us/tunisia/kader/verein/3670/saison_id/2026</x:v>
      </x:c>
      <x:c r="S5" s="26" t="str">
        <x:v>Transfermarkt</x:v>
      </x:c>
      <x:c r="T5" s="26" t="str">
        <x:v>https://www.transfermarkt.com/schnellsuche/ergebnis/schnellsuche?query=Aymen+Dahmen</x:v>
      </x:c>
      <x:c r="U5" s="26"/>
    </x:row>
    <x:row r="6">
      <x:c r="A6" s="26" t="str">
        <x:v>チュニジア</x:v>
      </x:c>
      <x:c r="B6" s="26" t="str">
        <x:v>Sabri Ben Hessen</x:v>
      </x:c>
      <x:c r="C6" s="26" t="str">
        <x:v>ゴールキーパー</x:v>
      </x:c>
      <x:c r="D6" s="26" t="str">
        <x:v>GK</x:v>
      </x:c>
      <x:c r="E6" s="28" t="n">
        <x:v>30</x:v>
      </x:c>
      <x:c r="F6" s="30" t="n">
        <x:v>0.55</x:v>
      </x:c>
      <x:c r="G6" s="26" t="str">
        <x:v>2025/26</x:v>
      </x:c>
      <x:c r="H6" s="26" t="str">
        <x:v>Tunisian Ligue 1</x:v>
      </x:c>
      <x:c r="I6" s="26" t="str">
        <x:v>Étoile du Sahel</x:v>
      </x:c>
      <x:c r="J6" s="28" t="n">
        <x:v>28</x:v>
      </x:c>
      <x:c r="K6" s="28" t="n">
        <x:v>28</x:v>
      </x:c>
      <x:c r="L6" s="28" t="n">
        <x:v>2505</x:v>
      </x:c>
      <x:c r="M6" s="28" t="n">
        <x:v>0</x:v>
      </x:c>
      <x:c r="N6" s="28" t="n">
        <x:v>0</x:v>
      </x:c>
      <x:c r="O6" s="28" t="n">
        <x:f>IF(COUNT(M6:N6)&lt;2,"",SUM(M6:N6))</x:f>
        <x:v>0</x:v>
      </x:c>
      <x:c r="P6" s="32" t="n">
        <x:f>IF(OR(COUNT(L6)=0,L6=0,COUNT(O6)=0),"",O6*90/L6)</x:f>
        <x:v>0</x:v>
      </x:c>
      <x:c r="Q6" s="26" t="str">
        <x:v>完全</x:v>
      </x:c>
      <x:c r="R6" s="26" t="str">
        <x:v>https://www.transfermarkt.us/tunisia/kader/verein/3670/saison_id/2026</x:v>
      </x:c>
      <x:c r="S6" s="26" t="str">
        <x:v>Opta Analyst</x:v>
      </x:c>
      <x:c r="T6" s="26" t="str">
        <x:v>https://theanalyst.com/players/7628/sabri-ben-hessen/career</x:v>
      </x:c>
      <x:c r="U6" s="26"/>
    </x:row>
    <x:row r="7">
      <x:c r="A7" s="26" t="str">
        <x:v>チュニジア</x:v>
      </x:c>
      <x:c r="B7" s="26" t="str">
        <x:v>Montassar Talbi</x:v>
      </x:c>
      <x:c r="C7" s="26" t="str">
        <x:v>センターバック</x:v>
      </x:c>
      <x:c r="D7" s="26" t="str">
        <x:v>DF</x:v>
      </x:c>
      <x:c r="E7" s="28" t="n">
        <x:v>28</x:v>
      </x:c>
      <x:c r="F7" s="30" t="n">
        <x:v>8</x:v>
      </x:c>
      <x:c r="G7" s="26" t="str">
        <x:v>2025/26</x:v>
      </x:c>
      <x:c r="H7" s="26" t="str">
        <x:v>Ligue 1</x:v>
      </x:c>
      <x:c r="I7" s="26" t="str">
        <x:v>Lorient</x:v>
      </x:c>
      <x:c r="J7" s="28" t="n">
        <x:v>29</x:v>
      </x:c>
      <x:c r="K7" s="28" t="n">
        <x:v>29</x:v>
      </x:c>
      <x:c r="L7" s="28" t="n">
        <x:v>2610</x:v>
      </x:c>
      <x:c r="M7" s="28" t="n">
        <x:v>0</x:v>
      </x:c>
      <x:c r="N7" s="28" t="n">
        <x:v>1</x:v>
      </x:c>
      <x:c r="O7" s="28" t="n">
        <x:f>IF(COUNT(M7:N7)&lt;2,"",SUM(M7:N7))</x:f>
        <x:v>1</x:v>
      </x:c>
      <x:c r="P7" s="32" t="n">
        <x:f>IF(OR(COUNT(L7)=0,L7=0,COUNT(O7)=0),"",O7*90/L7)</x:f>
        <x:v>0.034482758620689655</x:v>
      </x:c>
      <x:c r="Q7" s="26" t="str">
        <x:v>完全</x:v>
      </x:c>
      <x:c r="R7" s="26" t="str">
        <x:v>https://www.transfermarkt.us/tunisia/kader/verein/3670/saison_id/2026</x:v>
      </x:c>
      <x:c r="S7" s="26" t="str">
        <x:v>FBref</x:v>
      </x:c>
      <x:c r="T7" s="26" t="str">
        <x:v>https://fbref.com/en/search/search.fcgi?search=Montassar+Talbi</x:v>
      </x:c>
      <x:c r="U7" s="26"/>
    </x:row>
    <x:row r="8">
      <x:c r="A8" s="26" t="str">
        <x:v>チュニジア</x:v>
      </x:c>
      <x:c r="B8" s="26" t="str">
        <x:v>Adem Arous</x:v>
      </x:c>
      <x:c r="C8" s="26" t="str">
        <x:v>センターバック</x:v>
      </x:c>
      <x:c r="D8" s="26" t="str">
        <x:v>DF</x:v>
      </x:c>
      <x:c r="E8" s="28" t="n">
        <x:v>21</x:v>
      </x:c>
      <x:c r="F8" s="30" t="n">
        <x:v>4</x:v>
      </x:c>
      <x:c r="G8" s="26" t="str">
        <x:v>2025/26</x:v>
      </x:c>
      <x:c r="H8" s="26" t="str">
        <x:v>Tunisian Ligue 1 + Süper Lig</x:v>
      </x:c>
      <x:c r="I8" s="26" t="str">
        <x:v>Stade Tunisien + Kasımpaşa</x:v>
      </x:c>
      <x:c r="J8" s="28" t="n">
        <x:v>25</x:v>
      </x:c>
      <x:c r="K8" s="28" t="n">
        <x:v>23</x:v>
      </x:c>
      <x:c r="L8" s="28" t="n">
        <x:v>1997</x:v>
      </x:c>
      <x:c r="M8" s="28" t="n">
        <x:v>2</x:v>
      </x:c>
      <x:c r="N8" s="28" t="n">
        <x:v>0</x:v>
      </x:c>
      <x:c r="O8" s="28" t="n">
        <x:f>IF(COUNT(M8:N8)&lt;2,"",SUM(M8:N8))</x:f>
        <x:v>2</x:v>
      </x:c>
      <x:c r="P8" s="32" t="n">
        <x:f>IF(OR(COUNT(L8)=0,L8=0,COUNT(O8)=0),"",O8*90/L8)</x:f>
        <x:v>0.09013520280420631</x:v>
      </x:c>
      <x:c r="Q8" s="26" t="str">
        <x:v>完全</x:v>
      </x:c>
      <x:c r="R8" s="26" t="str">
        <x:v>https://www.transfermarkt.us/tunisia/kader/verein/3670/saison_id/2026</x:v>
      </x:c>
      <x:c r="S8" s="26" t="str">
        <x:v>Transfermarkt</x:v>
      </x:c>
      <x:c r="T8" s="26" t="str">
        <x:v>https://www.transfermarkt.com/schnellsuche/ergebnis/schnellsuche?query=Adem+Arous</x:v>
      </x:c>
      <x:c r="U8" s="26" t="str">
        <x:v>Season aggregate across Stade Tunisien and Kasımpaşa.</x:v>
      </x:c>
    </x:row>
    <x:row r="9">
      <x:c r="A9" s="26" t="str">
        <x:v>チュニジア</x:v>
      </x:c>
      <x:c r="B9" s="26" t="str">
        <x:v>Dylan Bronn</x:v>
      </x:c>
      <x:c r="C9" s="26" t="str">
        <x:v>センターバック</x:v>
      </x:c>
      <x:c r="D9" s="26" t="str">
        <x:v>DF</x:v>
      </x:c>
      <x:c r="E9" s="28" t="n">
        <x:v>31</x:v>
      </x:c>
      <x:c r="F9" s="30" t="n">
        <x:v>0.6</x:v>
      </x:c>
      <x:c r="G9" s="26" t="str">
        <x:v>2025/26</x:v>
      </x:c>
      <x:c r="H9" s="26" t="str">
        <x:v>Swiss Super League</x:v>
      </x:c>
      <x:c r="I9" s="26" t="str">
        <x:v>Servette</x:v>
      </x:c>
      <x:c r="J9" s="28" t="n">
        <x:v>14</x:v>
      </x:c>
      <x:c r="K9" s="28" t="n">
        <x:v>14</x:v>
      </x:c>
      <x:c r="L9" s="28" t="n">
        <x:v>1216</x:v>
      </x:c>
      <x:c r="M9" s="28" t="n">
        <x:v>0</x:v>
      </x:c>
      <x:c r="N9" s="28" t="n">
        <x:v>1</x:v>
      </x:c>
      <x:c r="O9" s="28" t="n">
        <x:f>IF(COUNT(M9:N9)&lt;2,"",SUM(M9:N9))</x:f>
        <x:v>1</x:v>
      </x:c>
      <x:c r="P9" s="32" t="n">
        <x:f>IF(OR(COUNT(L9)=0,L9=0,COUNT(O9)=0),"",O9*90/L9)</x:f>
        <x:v>0.07401315789473684</x:v>
      </x:c>
      <x:c r="Q9" s="26" t="str">
        <x:v>完全</x:v>
      </x:c>
      <x:c r="R9" s="26" t="str">
        <x:v>https://www.transfermarkt.us/tunisia/kader/verein/3670/saison_id/2026</x:v>
      </x:c>
      <x:c r="S9" s="26" t="str">
        <x:v>Transfermarkt</x:v>
      </x:c>
      <x:c r="T9" s="26" t="str">
        <x:v>https://www.transfermarkt.com/schnellsuche/ergebnis/schnellsuche?query=Dylan+Bronn</x:v>
      </x:c>
      <x:c r="U9" s="26"/>
    </x:row>
    <x:row r="10">
      <x:c r="A10" s="26" t="str">
        <x:v>チュニジア</x:v>
      </x:c>
      <x:c r="B10" s="26" t="str">
        <x:v>Raed Chikhaoui</x:v>
      </x:c>
      <x:c r="C10" s="26" t="str">
        <x:v>センターバック</x:v>
      </x:c>
      <x:c r="D10" s="26" t="str">
        <x:v>DF</x:v>
      </x:c>
      <x:c r="E10" s="28" t="n">
        <x:v>22</x:v>
      </x:c>
      <x:c r="F10" s="30" t="n">
        <x:v>0.6</x:v>
      </x:c>
      <x:c r="G10" s="26" t="str">
        <x:v>2025/26</x:v>
      </x:c>
      <x:c r="H10" s="26" t="str">
        <x:v>Tunisian Ligue 1</x:v>
      </x:c>
      <x:c r="I10" s="26" t="str">
        <x:v>US Monastir</x:v>
      </x:c>
      <x:c r="J10" s="28" t="n">
        <x:v>28</x:v>
      </x:c>
      <x:c r="K10" s="28" t="n">
        <x:v>28</x:v>
      </x:c>
      <x:c r="L10" s="28" t="n">
        <x:v>2495</x:v>
      </x:c>
      <x:c r="M10" s="28" t="n">
        <x:v>3</x:v>
      </x:c>
      <x:c r="N10" s="28" t="n">
        <x:v>0</x:v>
      </x:c>
      <x:c r="O10" s="28" t="n">
        <x:f>IF(COUNT(M10:N10)&lt;2,"",SUM(M10:N10))</x:f>
        <x:v>3</x:v>
      </x:c>
      <x:c r="P10" s="32" t="n">
        <x:f>IF(OR(COUNT(L10)=0,L10=0,COUNT(O10)=0),"",O10*90/L10)</x:f>
        <x:v>0.10821643286573146</x:v>
      </x:c>
      <x:c r="Q10" s="26" t="str">
        <x:v>完全</x:v>
      </x:c>
      <x:c r="R10" s="26" t="str">
        <x:v>https://www.transfermarkt.us/tunisia/kader/verein/3670/saison_id/2026</x:v>
      </x:c>
      <x:c r="S10" s="26" t="str">
        <x:v>Transfermarkt</x:v>
      </x:c>
      <x:c r="T10" s="26" t="str">
        <x:v>https://www.transfermarkt.com/schnellsuche/ergebnis/schnellsuche?query=Raed+Chikhaoui</x:v>
      </x:c>
      <x:c r="U10" s="26"/>
    </x:row>
    <x:row r="11">
      <x:c r="A11" s="26" t="str">
        <x:v>チュニジア</x:v>
      </x:c>
      <x:c r="B11" s="26" t="str">
        <x:v>Omar Rekik</x:v>
      </x:c>
      <x:c r="C11" s="26" t="str">
        <x:v>センターバック</x:v>
      </x:c>
      <x:c r="D11" s="26" t="str">
        <x:v>DF</x:v>
      </x:c>
      <x:c r="E11" s="28" t="n">
        <x:v>24</x:v>
      </x:c>
      <x:c r="F11" s="30" t="n">
        <x:v>0.5</x:v>
      </x:c>
      <x:c r="G11" s="26" t="str">
        <x:v>2025/26</x:v>
      </x:c>
      <x:c r="H11" s="26" t="str">
        <x:v>Slovenian PrvaLiga</x:v>
      </x:c>
      <x:c r="I11" s="26" t="str">
        <x:v>Maribor</x:v>
      </x:c>
      <x:c r="J11" s="28" t="n">
        <x:v>27</x:v>
      </x:c>
      <x:c r="K11" s="28" t="n">
        <x:v>23</x:v>
      </x:c>
      <x:c r="L11" s="28" t="n">
        <x:v>2129</x:v>
      </x:c>
      <x:c r="M11" s="28" t="n">
        <x:v>1</x:v>
      </x:c>
      <x:c r="N11" s="28" t="n">
        <x:v>0</x:v>
      </x:c>
      <x:c r="O11" s="28" t="n">
        <x:f>IF(COUNT(M11:N11)&lt;2,"",SUM(M11:N11))</x:f>
        <x:v>1</x:v>
      </x:c>
      <x:c r="P11" s="32" t="n">
        <x:f>IF(OR(COUNT(L11)=0,L11=0,COUNT(O11)=0),"",O11*90/L11)</x:f>
        <x:v>0.042273367778299674</x:v>
      </x:c>
      <x:c r="Q11" s="26" t="str">
        <x:v>完全</x:v>
      </x:c>
      <x:c r="R11" s="26" t="str">
        <x:v>https://www.transfermarkt.us/tunisia/kader/verein/3670/saison_id/2026</x:v>
      </x:c>
      <x:c r="S11" s="26" t="str">
        <x:v>Transfermarkt</x:v>
      </x:c>
      <x:c r="T11" s="26" t="str">
        <x:v>https://www.transfermarkt.com/schnellsuche/ergebnis/schnellsuche?query=Omar+Rekik</x:v>
      </x:c>
      <x:c r="U11" s="26"/>
    </x:row>
    <x:row r="12">
      <x:c r="A12" s="26" t="str">
        <x:v>チュニジア</x:v>
      </x:c>
      <x:c r="B12" s="26" t="str">
        <x:v>Ali Abdi</x:v>
      </x:c>
      <x:c r="C12" s="26" t="str">
        <x:v>左サイドバック</x:v>
      </x:c>
      <x:c r="D12" s="26" t="str">
        <x:v>DF</x:v>
      </x:c>
      <x:c r="E12" s="28" t="n">
        <x:v>32</x:v>
      </x:c>
      <x:c r="F12" s="30" t="n">
        <x:v>2</x:v>
      </x:c>
      <x:c r="G12" s="26" t="str">
        <x:v>2025/26</x:v>
      </x:c>
      <x:c r="H12" s="26" t="str">
        <x:v>Ligue 1</x:v>
      </x:c>
      <x:c r="I12" s="26" t="str">
        <x:v>Nice</x:v>
      </x:c>
      <x:c r="J12" s="28" t="n">
        <x:v>22</x:v>
      </x:c>
      <x:c r="K12" s="28" t="n">
        <x:v>13</x:v>
      </x:c>
      <x:c r="L12" s="28" t="n">
        <x:v>1167</x:v>
      </x:c>
      <x:c r="M12" s="28" t="n">
        <x:v>3</x:v>
      </x:c>
      <x:c r="N12" s="28" t="n">
        <x:v>0</x:v>
      </x:c>
      <x:c r="O12" s="28" t="n">
        <x:f>IF(COUNT(M12:N12)&lt;2,"",SUM(M12:N12))</x:f>
        <x:v>3</x:v>
      </x:c>
      <x:c r="P12" s="32" t="n">
        <x:f>IF(OR(COUNT(L12)=0,L12=0,COUNT(O12)=0),"",O12*90/L12)</x:f>
        <x:v>0.23136246786632392</x:v>
      </x:c>
      <x:c r="Q12" s="26" t="str">
        <x:v>完全</x:v>
      </x:c>
      <x:c r="R12" s="26" t="str">
        <x:v>https://www.transfermarkt.us/tunisia/kader/verein/3670/saison_id/2026</x:v>
      </x:c>
      <x:c r="S12" s="26" t="str">
        <x:v>FBref</x:v>
      </x:c>
      <x:c r="T12" s="26" t="str">
        <x:v>https://fbref.com/en/search/search.fcgi?search=Ali+Abdi</x:v>
      </x:c>
      <x:c r="U12" s="26"/>
    </x:row>
    <x:row r="13">
      <x:c r="A13" s="26" t="str">
        <x:v>チュニジア</x:v>
      </x:c>
      <x:c r="B13" s="26" t="str">
        <x:v>Mohamed Amine Ben Hamida</x:v>
      </x:c>
      <x:c r="C13" s="26" t="str">
        <x:v>左サイドバック</x:v>
      </x:c>
      <x:c r="D13" s="26" t="str">
        <x:v>DF</x:v>
      </x:c>
      <x:c r="E13" s="28" t="n">
        <x:v>30</x:v>
      </x:c>
      <x:c r="F13" s="30" t="n">
        <x:v>1</x:v>
      </x:c>
      <x:c r="G13" s="26" t="str">
        <x:v>2025/26</x:v>
      </x:c>
      <x:c r="H13" s="26" t="str">
        <x:v>Tunisian Ligue 1</x:v>
      </x:c>
      <x:c r="I13" s="26" t="str">
        <x:v>Espérance de Tunis</x:v>
      </x:c>
      <x:c r="J13" s="28" t="n">
        <x:v>23</x:v>
      </x:c>
      <x:c r="K13" s="28"/>
      <x:c r="L13" s="28" t="n">
        <x:v>1936</x:v>
      </x:c>
      <x:c r="M13" s="28" t="n">
        <x:v>1</x:v>
      </x:c>
      <x:c r="N13" s="28" t="n">
        <x:v>1</x:v>
      </x:c>
      <x:c r="O13" s="28" t="n">
        <x:f>IF(COUNT(M13:N13)&lt;2,"",SUM(M13:N13))</x:f>
        <x:v>2</x:v>
      </x:c>
      <x:c r="P13" s="32" t="n">
        <x:f>IF(OR(COUNT(L13)=0,L13=0,COUNT(O13)=0),"",O13*90/L13)</x:f>
        <x:v>0.09297520661157024</x:v>
      </x:c>
      <x:c r="Q13" s="26" t="str">
        <x:v>一部</x:v>
      </x:c>
      <x:c r="R13" s="26" t="str">
        <x:v>https://www.transfermarkt.us/tunisia/kader/verein/3670/saison_id/2026</x:v>
      </x:c>
      <x:c r="S13" s="26" t="str">
        <x:v>GioScore</x:v>
      </x:c>
      <x:c r="T13" s="26" t="str">
        <x:v>https://gioscore.com/football/player/mohamed-amine-ben-hamida/466999</x:v>
      </x:c>
      <x:c r="U13" s="26" t="str">
        <x:v>Some providers show 25 league appearances; minutes-based source used here.</x:v>
      </x:c>
    </x:row>
    <x:row r="14">
      <x:c r="A14" s="26" t="str">
        <x:v>チュニジア</x:v>
      </x:c>
      <x:c r="B14" s="26" t="str">
        <x:v>Yan Valery</x:v>
      </x:c>
      <x:c r="C14" s="26" t="str">
        <x:v>右サイドバック</x:v>
      </x:c>
      <x:c r="D14" s="26" t="str">
        <x:v>DF</x:v>
      </x:c>
      <x:c r="E14" s="28" t="n">
        <x:v>27</x:v>
      </x:c>
      <x:c r="F14" s="30" t="n">
        <x:v>1.5</x:v>
      </x:c>
      <x:c r="G14" s="26" t="str">
        <x:v>2025/26</x:v>
      </x:c>
      <x:c r="H14" s="26" t="str">
        <x:v>Championship + Swiss Super League</x:v>
      </x:c>
      <x:c r="I14" s="26" t="str">
        <x:v>Sheffield Wednesday + Young Boys</x:v>
      </x:c>
      <x:c r="J14" s="28" t="n">
        <x:v>37</x:v>
      </x:c>
      <x:c r="K14" s="28" t="n">
        <x:v>34</x:v>
      </x:c>
      <x:c r="L14" s="28" t="n">
        <x:v>2993</x:v>
      </x:c>
      <x:c r="M14" s="28" t="n">
        <x:v>0</x:v>
      </x:c>
      <x:c r="N14" s="28" t="n">
        <x:v>4</x:v>
      </x:c>
      <x:c r="O14" s="28" t="n">
        <x:f>IF(COUNT(M14:N14)&lt;2,"",SUM(M14:N14))</x:f>
        <x:v>4</x:v>
      </x:c>
      <x:c r="P14" s="32" t="n">
        <x:f>IF(OR(COUNT(L14)=0,L14=0,COUNT(O14)=0),"",O14*90/L14)</x:f>
        <x:v>0.12028065486134314</x:v>
      </x:c>
      <x:c r="Q14" s="26" t="str">
        <x:v>完全</x:v>
      </x:c>
      <x:c r="R14" s="26" t="str">
        <x:v>https://www.transfermarkt.us/tunisia/kader/verein/3670/saison_id/2026</x:v>
      </x:c>
      <x:c r="S14" s="26" t="str">
        <x:v>Transfermarkt</x:v>
      </x:c>
      <x:c r="T14" s="26" t="str">
        <x:v>https://www.transfermarkt.com/schnellsuche/ergebnis/schnellsuche?query=Yan+Valery</x:v>
      </x:c>
      <x:c r="U14" s="26" t="str">
        <x:v>Season aggregate across two clubs/leagues.</x:v>
      </x:c>
    </x:row>
    <x:row r="15">
      <x:c r="A15" s="26" t="str">
        <x:v>チュニジア</x:v>
      </x:c>
      <x:c r="B15" s="26" t="str">
        <x:v>Moutaz Neffati</x:v>
      </x:c>
      <x:c r="C15" s="26" t="str">
        <x:v>右サイドバック</x:v>
      </x:c>
      <x:c r="D15" s="26" t="str">
        <x:v>DF</x:v>
      </x:c>
      <x:c r="E15" s="28" t="n">
        <x:v>21</x:v>
      </x:c>
      <x:c r="F15" s="30" t="n">
        <x:v>1.2</x:v>
      </x:c>
      <x:c r="G15" s="26" t="str">
        <x:v>2025</x:v>
      </x:c>
      <x:c r="H15" s="26" t="str">
        <x:v>Allsvenskan</x:v>
      </x:c>
      <x:c r="I15" s="26" t="str">
        <x:v>IFK Norrköping</x:v>
      </x:c>
      <x:c r="J15" s="28" t="n">
        <x:v>27</x:v>
      </x:c>
      <x:c r="K15" s="28" t="n">
        <x:v>27</x:v>
      </x:c>
      <x:c r="L15" s="28" t="n">
        <x:v>2325</x:v>
      </x:c>
      <x:c r="M15" s="28" t="n">
        <x:v>1</x:v>
      </x:c>
      <x:c r="N15" s="28" t="n">
        <x:v>4</x:v>
      </x:c>
      <x:c r="O15" s="28" t="n">
        <x:f>IF(COUNT(M15:N15)&lt;2,"",SUM(M15:N15))</x:f>
        <x:v>5</x:v>
      </x:c>
      <x:c r="P15" s="32" t="n">
        <x:f>IF(OR(COUNT(L15)=0,L15=0,COUNT(O15)=0),"",O15*90/L15)</x:f>
        <x:v>0.1935483870967742</x:v>
      </x:c>
      <x:c r="Q15" s="26" t="str">
        <x:v>完全</x:v>
      </x:c>
      <x:c r="R15" s="26" t="str">
        <x:v>https://www.transfermarkt.us/tunisia/kader/verein/3670/saison_id/2026</x:v>
      </x:c>
      <x:c r="S15" s="26" t="str">
        <x:v>FBref</x:v>
      </x:c>
      <x:c r="T15" s="26" t="str">
        <x:v>https://fbref.com/en/search/search.fcgi?search=Moutaz+Neffati</x:v>
      </x:c>
      <x:c r="U15" s="26"/>
    </x:row>
    <x:row r="16">
      <x:c r="A16" s="26" t="str">
        <x:v>チュニジア</x:v>
      </x:c>
      <x:c r="B16" s="26" t="str">
        <x:v>Ellyes Skhiri</x:v>
      </x:c>
      <x:c r="C16" s="26" t="str">
        <x:v>守備的MF</x:v>
      </x:c>
      <x:c r="D16" s="26" t="str">
        <x:v>MF</x:v>
      </x:c>
      <x:c r="E16" s="28" t="n">
        <x:v>31</x:v>
      </x:c>
      <x:c r="F16" s="30" t="n">
        <x:v>5</x:v>
      </x:c>
      <x:c r="G16" s="26" t="str">
        <x:v>2025/26</x:v>
      </x:c>
      <x:c r="H16" s="26" t="str">
        <x:v>Bundesliga</x:v>
      </x:c>
      <x:c r="I16" s="26" t="str">
        <x:v>Eintracht Frankfurt</x:v>
      </x:c>
      <x:c r="J16" s="28" t="n">
        <x:v>25</x:v>
      </x:c>
      <x:c r="K16" s="28" t="n">
        <x:v>16</x:v>
      </x:c>
      <x:c r="L16" s="28" t="n">
        <x:v>1442</x:v>
      </x:c>
      <x:c r="M16" s="28" t="n">
        <x:v>0</x:v>
      </x:c>
      <x:c r="N16" s="28" t="n">
        <x:v>0</x:v>
      </x:c>
      <x:c r="O16" s="28" t="n">
        <x:f>IF(COUNT(M16:N16)&lt;2,"",SUM(M16:N16))</x:f>
        <x:v>0</x:v>
      </x:c>
      <x:c r="P16" s="32" t="n">
        <x:f>IF(OR(COUNT(L16)=0,L16=0,COUNT(O16)=0),"",O16*90/L16)</x:f>
        <x:v>0</x:v>
      </x:c>
      <x:c r="Q16" s="26" t="str">
        <x:v>完全</x:v>
      </x:c>
      <x:c r="R16" s="26" t="str">
        <x:v>https://www.transfermarkt.us/tunisia/kader/verein/3670/saison_id/2026</x:v>
      </x:c>
      <x:c r="S16" s="26" t="str">
        <x:v>FBref</x:v>
      </x:c>
      <x:c r="T16" s="26" t="str">
        <x:v>https://fbref.com/en/search/search.fcgi?search=Ellyes+Skhiri</x:v>
      </x:c>
      <x:c r="U16" s="26"/>
    </x:row>
    <x:row r="17">
      <x:c r="A17" s="26" t="str">
        <x:v>チュニジア</x:v>
      </x:c>
      <x:c r="B17" s="26" t="str">
        <x:v>Rani Khedira</x:v>
      </x:c>
      <x:c r="C17" s="26" t="str">
        <x:v>守備的MF</x:v>
      </x:c>
      <x:c r="D17" s="26" t="str">
        <x:v>MF</x:v>
      </x:c>
      <x:c r="E17" s="28" t="n">
        <x:v>32</x:v>
      </x:c>
      <x:c r="F17" s="30" t="n">
        <x:v>2</x:v>
      </x:c>
      <x:c r="G17" s="26" t="str">
        <x:v>2025/26</x:v>
      </x:c>
      <x:c r="H17" s="26" t="str">
        <x:v>Bundesliga</x:v>
      </x:c>
      <x:c r="I17" s="26" t="str">
        <x:v>Union Berlin</x:v>
      </x:c>
      <x:c r="J17" s="28" t="n">
        <x:v>32</x:v>
      </x:c>
      <x:c r="K17" s="28" t="n">
        <x:v>32</x:v>
      </x:c>
      <x:c r="L17" s="28" t="n">
        <x:v>2835</x:v>
      </x:c>
      <x:c r="M17" s="28" t="n">
        <x:v>5</x:v>
      </x:c>
      <x:c r="N17" s="28" t="n">
        <x:v>1</x:v>
      </x:c>
      <x:c r="O17" s="28" t="n">
        <x:f>IF(COUNT(M17:N17)&lt;2,"",SUM(M17:N17))</x:f>
        <x:v>6</x:v>
      </x:c>
      <x:c r="P17" s="32" t="n">
        <x:f>IF(OR(COUNT(L17)=0,L17=0,COUNT(O17)=0),"",O17*90/L17)</x:f>
        <x:v>0.19047619047619047</x:v>
      </x:c>
      <x:c r="Q17" s="26" t="str">
        <x:v>完全</x:v>
      </x:c>
      <x:c r="R17" s="26" t="str">
        <x:v>https://www.transfermarkt.us/tunisia/kader/verein/3670/saison_id/2026</x:v>
      </x:c>
      <x:c r="S17" s="26" t="str">
        <x:v>FBref</x:v>
      </x:c>
      <x:c r="T17" s="26" t="str">
        <x:v>https://fbref.com/en/search/search.fcgi?search=Rani+Khedira</x:v>
      </x:c>
      <x:c r="U17" s="26"/>
    </x:row>
    <x:row r="18">
      <x:c r="A18" s="26" t="str">
        <x:v>チュニジア</x:v>
      </x:c>
      <x:c r="B18" s="26" t="str">
        <x:v>Mohamed Belhadj Mahmoud</x:v>
      </x:c>
      <x:c r="C18" s="26" t="str">
        <x:v>セントラルMF</x:v>
      </x:c>
      <x:c r="D18" s="26" t="str">
        <x:v>MF</x:v>
      </x:c>
      <x:c r="E18" s="28" t="n">
        <x:v>26</x:v>
      </x:c>
      <x:c r="F18" s="30" t="n">
        <x:v>2</x:v>
      </x:c>
      <x:c r="G18" s="26" t="str">
        <x:v>2025/26</x:v>
      </x:c>
      <x:c r="H18" s="26" t="str">
        <x:v>Swiss Super League</x:v>
      </x:c>
      <x:c r="I18" s="26" t="str">
        <x:v>Lugano</x:v>
      </x:c>
      <x:c r="J18" s="28" t="n">
        <x:v>22</x:v>
      </x:c>
      <x:c r="K18" s="28"/>
      <x:c r="L18" s="28" t="n">
        <x:v>1055</x:v>
      </x:c>
      <x:c r="M18" s="28" t="n">
        <x:v>1</x:v>
      </x:c>
      <x:c r="N18" s="28" t="n">
        <x:v>0</x:v>
      </x:c>
      <x:c r="O18" s="28" t="n">
        <x:f>IF(COUNT(M18:N18)&lt;2,"",SUM(M18:N18))</x:f>
        <x:v>1</x:v>
      </x:c>
      <x:c r="P18" s="32" t="n">
        <x:f>IF(OR(COUNT(L18)=0,L18=0,COUNT(O18)=0),"",O18*90/L18)</x:f>
        <x:v>0.08530805687203792</x:v>
      </x:c>
      <x:c r="Q18" s="26" t="str">
        <x:v>一部</x:v>
      </x:c>
      <x:c r="R18" s="26" t="str">
        <x:v>https://www.transfermarkt.us/tunisia/kader/verein/3670/saison_id/2026</x:v>
      </x:c>
      <x:c r="S18" s="26" t="str">
        <x:v>Transfermarkt</x:v>
      </x:c>
      <x:c r="T18" s="26" t="str">
        <x:v>https://www.transfermarkt.com/mohamed-belhaj-mahmoud/leistungsdaten/spieler/673513</x:v>
      </x:c>
      <x:c r="U18" s="26" t="str">
        <x:v>Provider snapshots differ slightly; Transfermarkt league line used.</x:v>
      </x:c>
    </x:row>
    <x:row r="19">
      <x:c r="A19" s="26" t="str">
        <x:v>チュニジア</x:v>
      </x:c>
      <x:c r="B19" s="26" t="str">
        <x:v>Hannibal Mejbri</x:v>
      </x:c>
      <x:c r="C19" s="26" t="str">
        <x:v>攻撃的MF</x:v>
      </x:c>
      <x:c r="D19" s="26" t="str">
        <x:v>MF</x:v>
      </x:c>
      <x:c r="E19" s="28" t="n">
        <x:v>23</x:v>
      </x:c>
      <x:c r="F19" s="30" t="n">
        <x:v>15</x:v>
      </x:c>
      <x:c r="G19" s="26" t="str">
        <x:v>2025/26</x:v>
      </x:c>
      <x:c r="H19" s="26" t="str">
        <x:v>Premier League</x:v>
      </x:c>
      <x:c r="I19" s="26" t="str">
        <x:v>Burnley</x:v>
      </x:c>
      <x:c r="J19" s="28" t="n">
        <x:v>27</x:v>
      </x:c>
      <x:c r="K19" s="28" t="n">
        <x:v>15</x:v>
      </x:c>
      <x:c r="L19" s="28" t="n">
        <x:v>1229</x:v>
      </x:c>
      <x:c r="M19" s="28" t="n">
        <x:v>1</x:v>
      </x:c>
      <x:c r="N19" s="28" t="n">
        <x:v>4</x:v>
      </x:c>
      <x:c r="O19" s="28" t="n">
        <x:f>IF(COUNT(M19:N19)&lt;2,"",SUM(M19:N19))</x:f>
        <x:v>5</x:v>
      </x:c>
      <x:c r="P19" s="32" t="n">
        <x:f>IF(OR(COUNT(L19)=0,L19=0,COUNT(O19)=0),"",O19*90/L19)</x:f>
        <x:v>0.3661513425549227</x:v>
      </x:c>
      <x:c r="Q19" s="26" t="str">
        <x:v>完全</x:v>
      </x:c>
      <x:c r="R19" s="26" t="str">
        <x:v>https://www.transfermarkt.us/tunisia/kader/verein/3670/saison_id/2026</x:v>
      </x:c>
      <x:c r="S19" s="26" t="str">
        <x:v>FBref</x:v>
      </x:c>
      <x:c r="T19" s="26" t="str">
        <x:v>https://fbref.com/en/search/search.fcgi?search=Hannibal+Mejbri</x:v>
      </x:c>
      <x:c r="U19" s="26"/>
    </x:row>
    <x:row r="20">
      <x:c r="A20" s="26" t="str">
        <x:v>チュニジア</x:v>
      </x:c>
      <x:c r="B20" s="26" t="str">
        <x:v>Anis Ben Slimane</x:v>
      </x:c>
      <x:c r="C20" s="26" t="str">
        <x:v>攻撃的MF</x:v>
      </x:c>
      <x:c r="D20" s="26" t="str">
        <x:v>MF</x:v>
      </x:c>
      <x:c r="E20" s="28" t="n">
        <x:v>25</x:v>
      </x:c>
      <x:c r="F20" s="30" t="n">
        <x:v>4</x:v>
      </x:c>
      <x:c r="G20" s="26" t="str">
        <x:v>2025/26</x:v>
      </x:c>
      <x:c r="H20" s="26" t="str">
        <x:v>Championship</x:v>
      </x:c>
      <x:c r="I20" s="26" t="str">
        <x:v>Norwich City</x:v>
      </x:c>
      <x:c r="J20" s="28" t="n">
        <x:v>22</x:v>
      </x:c>
      <x:c r="K20" s="28" t="n">
        <x:v>15</x:v>
      </x:c>
      <x:c r="L20" s="28" t="n">
        <x:v>1234</x:v>
      </x:c>
      <x:c r="M20" s="28" t="n">
        <x:v>5</x:v>
      </x:c>
      <x:c r="N20" s="28" t="n">
        <x:v>2</x:v>
      </x:c>
      <x:c r="O20" s="28" t="n">
        <x:f>IF(COUNT(M20:N20)&lt;2,"",SUM(M20:N20))</x:f>
        <x:v>7</x:v>
      </x:c>
      <x:c r="P20" s="32" t="n">
        <x:f>IF(OR(COUNT(L20)=0,L20=0,COUNT(O20)=0),"",O20*90/L20)</x:f>
        <x:v>0.5105348460291734</x:v>
      </x:c>
      <x:c r="Q20" s="26" t="str">
        <x:v>完全</x:v>
      </x:c>
      <x:c r="R20" s="26" t="str">
        <x:v>https://www.transfermarkt.us/tunisia/kader/verein/3670/saison_id/2026</x:v>
      </x:c>
      <x:c r="S20" s="26" t="str">
        <x:v>FBref</x:v>
      </x:c>
      <x:c r="T20" s="26" t="str">
        <x:v>https://fbref.com/en/search/search.fcgi?search=Anis+Ben+Slimane</x:v>
      </x:c>
      <x:c r="U20" s="26"/>
    </x:row>
    <x:row r="21">
      <x:c r="A21" s="26" t="str">
        <x:v>チュニジア</x:v>
      </x:c>
      <x:c r="B21" s="26" t="str">
        <x:v>Ismaël Gharbi</x:v>
      </x:c>
      <x:c r="C21" s="26" t="str">
        <x:v>左ウイング</x:v>
      </x:c>
      <x:c r="D21" s="26" t="str">
        <x:v>FW</x:v>
      </x:c>
      <x:c r="E21" s="28" t="n">
        <x:v>22</x:v>
      </x:c>
      <x:c r="F21" s="30" t="n">
        <x:v>5</x:v>
      </x:c>
      <x:c r="G21" s="26" t="str">
        <x:v>2025/26</x:v>
      </x:c>
      <x:c r="H21" s="26" t="str">
        <x:v>Primeira Liga + Bundesliga</x:v>
      </x:c>
      <x:c r="I21" s="26" t="str">
        <x:v>Braga + Augsburg</x:v>
      </x:c>
      <x:c r="J21" s="28" t="n">
        <x:v>7</x:v>
      </x:c>
      <x:c r="K21" s="28" t="n">
        <x:v>1</x:v>
      </x:c>
      <x:c r="L21" s="28" t="n">
        <x:v>157</x:v>
      </x:c>
      <x:c r="M21" s="28" t="n">
        <x:v>0</x:v>
      </x:c>
      <x:c r="N21" s="28" t="n">
        <x:v>0</x:v>
      </x:c>
      <x:c r="O21" s="28" t="n">
        <x:f>IF(COUNT(M21:N21)&lt;2,"",SUM(M21:N21))</x:f>
        <x:v>0</x:v>
      </x:c>
      <x:c r="P21" s="32" t="n">
        <x:f>IF(OR(COUNT(L21)=0,L21=0,COUNT(O21)=0),"",O21*90/L21)</x:f>
        <x:v>0</x:v>
      </x:c>
      <x:c r="Q21" s="26" t="str">
        <x:v>完全</x:v>
      </x:c>
      <x:c r="R21" s="26" t="str">
        <x:v>https://www.transfermarkt.us/tunisia/kader/verein/3670/saison_id/2026</x:v>
      </x:c>
      <x:c r="S21" s="26" t="str">
        <x:v>Transfermarkt</x:v>
      </x:c>
      <x:c r="T21" s="26" t="str">
        <x:v>https://www.transfermarkt.com/schnellsuche/ergebnis/schnellsuche?query=Isma%C3%ABl+Gharbi</x:v>
      </x:c>
      <x:c r="U21" s="26" t="str">
        <x:v>Season aggregate across Braga and Augsburg.</x:v>
      </x:c>
    </x:row>
    <x:row r="22">
      <x:c r="A22" s="26" t="str">
        <x:v>チュニジア</x:v>
      </x:c>
      <x:c r="B22" s="26" t="str">
        <x:v>Sebastian Tounekti</x:v>
      </x:c>
      <x:c r="C22" s="26" t="str">
        <x:v>左ウイング</x:v>
      </x:c>
      <x:c r="D22" s="26" t="str">
        <x:v>FW</x:v>
      </x:c>
      <x:c r="E22" s="28" t="n">
        <x:v>23</x:v>
      </x:c>
      <x:c r="F22" s="30" t="n">
        <x:v>5</x:v>
      </x:c>
      <x:c r="G22" s="26" t="str">
        <x:v>2025/26</x:v>
      </x:c>
      <x:c r="H22" s="26" t="str">
        <x:v>Scottish Premiership</x:v>
      </x:c>
      <x:c r="I22" s="26" t="str">
        <x:v>Celtic</x:v>
      </x:c>
      <x:c r="J22" s="28" t="n">
        <x:v>27</x:v>
      </x:c>
      <x:c r="K22" s="28" t="n">
        <x:v>18</x:v>
      </x:c>
      <x:c r="L22" s="28" t="n">
        <x:v>1509</x:v>
      </x:c>
      <x:c r="M22" s="28" t="n">
        <x:v>2</x:v>
      </x:c>
      <x:c r="N22" s="28" t="n">
        <x:v>2</x:v>
      </x:c>
      <x:c r="O22" s="28" t="n">
        <x:f>IF(COUNT(M22:N22)&lt;2,"",SUM(M22:N22))</x:f>
        <x:v>4</x:v>
      </x:c>
      <x:c r="P22" s="32" t="n">
        <x:f>IF(OR(COUNT(L22)=0,L22=0,COUNT(O22)=0),"",O22*90/L22)</x:f>
        <x:v>0.23856858846918488</x:v>
      </x:c>
      <x:c r="Q22" s="26" t="str">
        <x:v>完全</x:v>
      </x:c>
      <x:c r="R22" s="26" t="str">
        <x:v>https://www.transfermarkt.us/tunisia/kader/verein/3670/saison_id/2026</x:v>
      </x:c>
      <x:c r="S22" s="26" t="str">
        <x:v>FBref</x:v>
      </x:c>
      <x:c r="T22" s="26" t="str">
        <x:v>https://fbref.com/en/search/search.fcgi?search=Sebastian+Tounekti</x:v>
      </x:c>
      <x:c r="U22" s="26"/>
    </x:row>
    <x:row r="23">
      <x:c r="A23" s="26" t="str">
        <x:v>チュニジア</x:v>
      </x:c>
      <x:c r="B23" s="26" t="str">
        <x:v>Elias Achouri</x:v>
      </x:c>
      <x:c r="C23" s="26" t="str">
        <x:v>左ウイング</x:v>
      </x:c>
      <x:c r="D23" s="26" t="str">
        <x:v>FW</x:v>
      </x:c>
      <x:c r="E23" s="28" t="n">
        <x:v>27</x:v>
      </x:c>
      <x:c r="F23" s="30" t="n">
        <x:v>3</x:v>
      </x:c>
      <x:c r="G23" s="26" t="str">
        <x:v>2025/26</x:v>
      </x:c>
      <x:c r="H23" s="26" t="str">
        <x:v>Danish Superliga</x:v>
      </x:c>
      <x:c r="I23" s="26" t="str">
        <x:v>FC Copenhagen</x:v>
      </x:c>
      <x:c r="J23" s="28" t="n">
        <x:v>21</x:v>
      </x:c>
      <x:c r="K23" s="28" t="n">
        <x:v>15</x:v>
      </x:c>
      <x:c r="L23" s="28" t="n">
        <x:v>1384</x:v>
      </x:c>
      <x:c r="M23" s="28" t="n">
        <x:v>3</x:v>
      </x:c>
      <x:c r="N23" s="28" t="n">
        <x:v>4</x:v>
      </x:c>
      <x:c r="O23" s="28" t="n">
        <x:f>IF(COUNT(M23:N23)&lt;2,"",SUM(M23:N23))</x:f>
        <x:v>7</x:v>
      </x:c>
      <x:c r="P23" s="32" t="n">
        <x:f>IF(OR(COUNT(L23)=0,L23=0,COUNT(O23)=0),"",O23*90/L23)</x:f>
        <x:v>0.4552023121387283</x:v>
      </x:c>
      <x:c r="Q23" s="26" t="str">
        <x:v>完全</x:v>
      </x:c>
      <x:c r="R23" s="26" t="str">
        <x:v>https://www.transfermarkt.us/tunisia/kader/verein/3670/saison_id/2026</x:v>
      </x:c>
      <x:c r="S23" s="26" t="str">
        <x:v>Transfermarkt</x:v>
      </x:c>
      <x:c r="T23" s="26" t="str">
        <x:v>https://www.transfermarkt.com/schnellsuche/ergebnis/schnellsuche?query=Elias+Achouri</x:v>
      </x:c>
      <x:c r="U23" s="26"/>
    </x:row>
    <x:row r="24">
      <x:c r="A24" s="26" t="str">
        <x:v>チュニジア</x:v>
      </x:c>
      <x:c r="B24" s="26" t="str">
        <x:v>Elias Saad</x:v>
      </x:c>
      <x:c r="C24" s="26" t="str">
        <x:v>左ウイング</x:v>
      </x:c>
      <x:c r="D24" s="26" t="str">
        <x:v>FW</x:v>
      </x:c>
      <x:c r="E24" s="28" t="n">
        <x:v>26</x:v>
      </x:c>
      <x:c r="F24" s="30" t="n">
        <x:v>2</x:v>
      </x:c>
      <x:c r="G24" s="26" t="str">
        <x:v>2025/26</x:v>
      </x:c>
      <x:c r="H24" s="26" t="str">
        <x:v>Bundesliga + 2. Bundesliga</x:v>
      </x:c>
      <x:c r="I24" s="26" t="str">
        <x:v>Augsburg + Hannover 96</x:v>
      </x:c>
      <x:c r="J24" s="28" t="n">
        <x:v>23</x:v>
      </x:c>
      <x:c r="K24" s="28" t="n">
        <x:v>15</x:v>
      </x:c>
      <x:c r="L24" s="28" t="n">
        <x:v>1206</x:v>
      </x:c>
      <x:c r="M24" s="28" t="n">
        <x:v>0</x:v>
      </x:c>
      <x:c r="N24" s="28" t="n">
        <x:v>3</x:v>
      </x:c>
      <x:c r="O24" s="28" t="n">
        <x:f>IF(COUNT(M24:N24)&lt;2,"",SUM(M24:N24))</x:f>
        <x:v>3</x:v>
      </x:c>
      <x:c r="P24" s="32" t="n">
        <x:f>IF(OR(COUNT(L24)=0,L24=0,COUNT(O24)=0),"",O24*90/L24)</x:f>
        <x:v>0.22388059701492538</x:v>
      </x:c>
      <x:c r="Q24" s="26" t="str">
        <x:v>完全</x:v>
      </x:c>
      <x:c r="R24" s="26" t="str">
        <x:v>https://www.transfermarkt.us/tunisia/kader/verein/3670/saison_id/2026</x:v>
      </x:c>
      <x:c r="S24" s="26" t="str">
        <x:v>Transfermarkt</x:v>
      </x:c>
      <x:c r="T24" s="26" t="str">
        <x:v>https://www.transfermarkt.com/schnellsuche/ergebnis/schnellsuche?query=Elias+Saad</x:v>
      </x:c>
      <x:c r="U24" s="26" t="str">
        <x:v>Season aggregate across Augsburg and Hannover.</x:v>
      </x:c>
    </x:row>
    <x:row r="25">
      <x:c r="A25" s="26" t="str">
        <x:v>チュニジア</x:v>
      </x:c>
      <x:c r="B25" s="26" t="str">
        <x:v>Mortadha Ben Ouanes</x:v>
      </x:c>
      <x:c r="C25" s="26" t="str">
        <x:v>左ウイング</x:v>
      </x:c>
      <x:c r="D25" s="26" t="str">
        <x:v>FW</x:v>
      </x:c>
      <x:c r="E25" s="28" t="n">
        <x:v>31</x:v>
      </x:c>
      <x:c r="F25" s="30" t="n">
        <x:v>1.5</x:v>
      </x:c>
      <x:c r="G25" s="26" t="str">
        <x:v>2025/26</x:v>
      </x:c>
      <x:c r="H25" s="26" t="str">
        <x:v>Süper Lig</x:v>
      </x:c>
      <x:c r="I25" s="26" t="str">
        <x:v>Kasımpaşa</x:v>
      </x:c>
      <x:c r="J25" s="28" t="n">
        <x:v>28</x:v>
      </x:c>
      <x:c r="K25" s="28" t="n">
        <x:v>26</x:v>
      </x:c>
      <x:c r="L25" s="28" t="n">
        <x:v>2279</x:v>
      </x:c>
      <x:c r="M25" s="28" t="n">
        <x:v>2</x:v>
      </x:c>
      <x:c r="N25" s="28" t="n">
        <x:v>6</x:v>
      </x:c>
      <x:c r="O25" s="28" t="n">
        <x:f>IF(COUNT(M25:N25)&lt;2,"",SUM(M25:N25))</x:f>
        <x:v>8</x:v>
      </x:c>
      <x:c r="P25" s="32" t="n">
        <x:f>IF(OR(COUNT(L25)=0,L25=0,COUNT(O25)=0),"",O25*90/L25)</x:f>
        <x:v>0.31592803861342694</x:v>
      </x:c>
      <x:c r="Q25" s="26" t="str">
        <x:v>完全</x:v>
      </x:c>
      <x:c r="R25" s="26" t="str">
        <x:v>https://www.transfermarkt.us/tunisia/kader/verein/3670/saison_id/2026</x:v>
      </x:c>
      <x:c r="S25" s="26" t="str">
        <x:v>Transfermarkt</x:v>
      </x:c>
      <x:c r="T25" s="26" t="str">
        <x:v>https://www.transfermarkt.com/schnellsuche/ergebnis/schnellsuche?query=Mortadha+Ben+Ouanes</x:v>
      </x:c>
      <x:c r="U25" s="26"/>
    </x:row>
    <x:row r="26">
      <x:c r="A26" s="26" t="str">
        <x:v>チュニジア</x:v>
      </x:c>
      <x:c r="B26" s="26" t="str">
        <x:v>Khalil Ayari</x:v>
      </x:c>
      <x:c r="C26" s="26" t="str">
        <x:v>右ウイング</x:v>
      </x:c>
      <x:c r="D26" s="26" t="str">
        <x:v>FW</x:v>
      </x:c>
      <x:c r="E26" s="28" t="n">
        <x:v>21</x:v>
      </x:c>
      <x:c r="F26" s="30" t="n">
        <x:v>1</x:v>
      </x:c>
      <x:c r="G26" s="26" t="str">
        <x:v>2025/26</x:v>
      </x:c>
      <x:c r="H26" s="26" t="str">
        <x:v>Tunisian Ligue 1</x:v>
      </x:c>
      <x:c r="I26" s="26" t="str">
        <x:v>Stade Tunisien</x:v>
      </x:c>
      <x:c r="J26" s="28" t="n">
        <x:v>2</x:v>
      </x:c>
      <x:c r="K26" s="28" t="n">
        <x:v>1</x:v>
      </x:c>
      <x:c r="L26" s="28" t="n">
        <x:v>126</x:v>
      </x:c>
      <x:c r="M26" s="28" t="n">
        <x:v>0</x:v>
      </x:c>
      <x:c r="N26" s="28" t="n">
        <x:v>0</x:v>
      </x:c>
      <x:c r="O26" s="28" t="n">
        <x:f>IF(COUNT(M26:N26)&lt;2,"",SUM(M26:N26))</x:f>
        <x:v>0</x:v>
      </x:c>
      <x:c r="P26" s="32" t="n">
        <x:f>IF(OR(COUNT(L26)=0,L26=0,COUNT(O26)=0),"",O26*90/L26)</x:f>
        <x:v>0</x:v>
      </x:c>
      <x:c r="Q26" s="26" t="str">
        <x:v>完全</x:v>
      </x:c>
      <x:c r="R26" s="26" t="str">
        <x:v>https://www.transfermarkt.us/tunisia/kader/verein/3670/saison_id/2026</x:v>
      </x:c>
      <x:c r="S26" s="26" t="str">
        <x:v>Transfermarkt</x:v>
      </x:c>
      <x:c r="T26" s="26" t="str">
        <x:v>https://www.transfermarkt.com/schnellsuche/ergebnis/schnellsuche?query=Khalil+Ayari</x:v>
      </x:c>
      <x:c r="U26" s="26" t="str">
        <x:v>Senior first-division league only; youth/reserve appearances excluded.</x:v>
      </x:c>
    </x:row>
    <x:row r="27">
      <x:c r="A27" s="26" t="str">
        <x:v>チュニジア</x:v>
      </x:c>
      <x:c r="B27" s="26" t="str">
        <x:v>Firas Chaouat</x:v>
      </x:c>
      <x:c r="C27" s="26" t="str">
        <x:v>センターフォワード</x:v>
      </x:c>
      <x:c r="D27" s="26" t="str">
        <x:v>FW</x:v>
      </x:c>
      <x:c r="E27" s="28" t="n">
        <x:v>30</x:v>
      </x:c>
      <x:c r="F27" s="30" t="n">
        <x:v>1.2</x:v>
      </x:c>
      <x:c r="G27" s="26" t="str">
        <x:v>2025/26</x:v>
      </x:c>
      <x:c r="H27" s="26" t="str">
        <x:v>Tunisian Ligue 1</x:v>
      </x:c>
      <x:c r="I27" s="26" t="str">
        <x:v>Club Africain</x:v>
      </x:c>
      <x:c r="J27" s="28" t="n">
        <x:v>25</x:v>
      </x:c>
      <x:c r="K27" s="28" t="n">
        <x:v>24</x:v>
      </x:c>
      <x:c r="L27" s="28" t="n">
        <x:v>2152</x:v>
      </x:c>
      <x:c r="M27" s="28" t="n">
        <x:v>15</x:v>
      </x:c>
      <x:c r="N27" s="28" t="n">
        <x:v>0</x:v>
      </x:c>
      <x:c r="O27" s="28" t="n">
        <x:f>IF(COUNT(M27:N27)&lt;2,"",SUM(M27:N27))</x:f>
        <x:v>15</x:v>
      </x:c>
      <x:c r="P27" s="32" t="n">
        <x:f>IF(OR(COUNT(L27)=0,L27=0,COUNT(O27)=0),"",O27*90/L27)</x:f>
        <x:v>0.6273234200743495</x:v>
      </x:c>
      <x:c r="Q27" s="26" t="str">
        <x:v>完全</x:v>
      </x:c>
      <x:c r="R27" s="26" t="str">
        <x:v>https://www.transfermarkt.us/tunisia/kader/verein/3670/saison_id/2026</x:v>
      </x:c>
      <x:c r="S27" s="26" t="str">
        <x:v>Transfermarkt</x:v>
      </x:c>
      <x:c r="T27" s="26" t="str">
        <x:v>https://www.transfermarkt.com/schnellsuche/ergebnis/schnellsuche?query=Firas+Chaouat</x:v>
      </x:c>
      <x:c r="U27" s="26"/>
    </x:row>
    <x:row r="28">
      <x:c r="A28" s="26" t="str">
        <x:v>チュニジア</x:v>
      </x:c>
      <x:c r="B28" s="26" t="str">
        <x:v>Hazem Mastouri</x:v>
      </x:c>
      <x:c r="C28" s="26" t="str">
        <x:v>センターフォワード</x:v>
      </x:c>
      <x:c r="D28" s="26" t="str">
        <x:v>FW</x:v>
      </x:c>
      <x:c r="E28" s="28" t="n">
        <x:v>29</x:v>
      </x:c>
      <x:c r="F28" s="30" t="n">
        <x:v>0.9</x:v>
      </x:c>
      <x:c r="G28" s="26" t="str">
        <x:v>2025/26</x:v>
      </x:c>
      <x:c r="H28" s="26" t="str">
        <x:v>Russian Premier League + Tunisian Ligue 1</x:v>
      </x:c>
      <x:c r="I28" s="26" t="str">
        <x:v>Dynamo Makhachkala + US Monastir</x:v>
      </x:c>
      <x:c r="J28" s="28" t="n">
        <x:v>22</x:v>
      </x:c>
      <x:c r="K28" s="28" t="n">
        <x:v>10</x:v>
      </x:c>
      <x:c r="L28" s="28" t="n">
        <x:v>1177</x:v>
      </x:c>
      <x:c r="M28" s="28" t="n">
        <x:v>2</x:v>
      </x:c>
      <x:c r="N28" s="28" t="n">
        <x:v>0</x:v>
      </x:c>
      <x:c r="O28" s="28" t="n">
        <x:f>IF(COUNT(M28:N28)&lt;2,"",SUM(M28:N28))</x:f>
        <x:v>2</x:v>
      </x:c>
      <x:c r="P28" s="32" t="n">
        <x:f>IF(OR(COUNT(L28)=0,L28=0,COUNT(O28)=0),"",O28*90/L28)</x:f>
        <x:v>0.15293118096856415</x:v>
      </x:c>
      <x:c r="Q28" s="26" t="str">
        <x:v>完全</x:v>
      </x:c>
      <x:c r="R28" s="26" t="str">
        <x:v>https://www.transfermarkt.us/tunisia/kader/verein/3670/saison_id/2026</x:v>
      </x:c>
      <x:c r="S28" s="26" t="str">
        <x:v>Transfermarkt</x:v>
      </x:c>
      <x:c r="T28" s="26" t="str">
        <x:v>https://www.transfermarkt.com/schnellsuche/ergebnis/schnellsuche?query=Hazem+Mastouri</x:v>
      </x:c>
      <x:c r="U28" s="26" t="str">
        <x:v>Season aggregate across Russia and Tunisia.</x:v>
      </x:c>
    </x:row>
    <x:row r="29">
      <x:c r="A29" s="26" t="str">
        <x:v>チュニジア</x:v>
      </x:c>
      <x:c r="B29" s="26" t="str">
        <x:v>Rayan Elloumi</x:v>
      </x:c>
      <x:c r="C29" s="26" t="str">
        <x:v>センターフォワード</x:v>
      </x:c>
      <x:c r="D29" s="26" t="str">
        <x:v>FW</x:v>
      </x:c>
      <x:c r="E29" s="28" t="n">
        <x:v>18</x:v>
      </x:c>
      <x:c r="F29" s="30" t="n">
        <x:v>0.8</x:v>
      </x:c>
      <x:c r="G29" s="26" t="str">
        <x:v>2025</x:v>
      </x:c>
      <x:c r="H29" s="26" t="str">
        <x:v>MLS</x:v>
      </x:c>
      <x:c r="I29" s="26" t="str">
        <x:v>Vancouver Whitecaps</x:v>
      </x:c>
      <x:c r="J29" s="28" t="n">
        <x:v>10</x:v>
      </x:c>
      <x:c r="K29" s="28" t="n">
        <x:v>2</x:v>
      </x:c>
      <x:c r="L29" s="28" t="n">
        <x:v>287</x:v>
      </x:c>
      <x:c r="M29" s="28" t="n">
        <x:v>2</x:v>
      </x:c>
      <x:c r="N29" s="28" t="n">
        <x:v>1</x:v>
      </x:c>
      <x:c r="O29" s="28" t="n">
        <x:f>IF(COUNT(M29:N29)&lt;2,"",SUM(M29:N29))</x:f>
        <x:v>3</x:v>
      </x:c>
      <x:c r="P29" s="32" t="n">
        <x:f>IF(OR(COUNT(L29)=0,L29=0,COUNT(O29)=0),"",O29*90/L29)</x:f>
        <x:v>0.9407665505226481</x:v>
      </x:c>
      <x:c r="Q29" s="26" t="str">
        <x:v>完全</x:v>
      </x:c>
      <x:c r="R29" s="26" t="str">
        <x:v>https://www.transfermarkt.us/tunisia/kader/verein/3670/saison_id/2026</x:v>
      </x:c>
      <x:c r="S29" s="26" t="str">
        <x:v>FBref</x:v>
      </x:c>
      <x:c r="T29" s="26" t="str">
        <x:v>https://fbref.com/en/search/search.fcgi?search=Rayan+Elloumi</x:v>
      </x:c>
      <x:c r="U29" s="26" t="str">
        <x:v>Senior MLS only; reserve-team stats excluded.</x:v>
      </x:c>
    </x:row>
  </x:sheetData>
  <x:mergeCells>
    <x:mergeCell ref="A1:U1"/>
    <x:mergeCell ref="A2:U2"/>
  </x:mergeCells>
  <x:conditionalFormatting sqref="F4:F2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{79ABD8AE-B97E-4A3A-46A5-CD5F1A18B804}</x14:id>
        </x:ext>
      </x:extLst>
    </x:cfRule>
  </x:conditionalFormatting>
  <x:conditionalFormatting sqref="P4:P2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5c27f7f61db403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ABD8AE-B97E-4A3A-46A5-CD5F1A18B804}">
            <x14:dataBar gradient="1">
              <x14:cfvo type="min"/>
              <x14:cfvo type="max"/>
              <x14:fillColor rgb="FF4F81BD"/>
            </x14:dataBar>
          </x14:cfRule>
          <xm:sqref>F4:F29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0" hidden="0" customWidth="1"/>
    <x:col min="5" max="5" width="7" hidden="0" customWidth="1"/>
    <x:col min="6" max="6" width="16" hidden="0" customWidth="1"/>
    <x:col min="7" max="7" width="14" hidden="0" customWidth="1"/>
    <x:col min="8" max="8" width="27" hidden="0" customWidth="1"/>
    <x:col min="9" max="9" width="30" hidden="0" customWidth="1"/>
    <x:col min="10" max="10" width="8" hidden="0" customWidth="1"/>
    <x:col min="11" max="11" width="8" hidden="0" customWidth="1"/>
    <x:col min="12" max="12" width="12" hidden="0" customWidth="1"/>
    <x:col min="13" max="13" width="8" hidden="0" customWidth="1"/>
    <x:col min="14" max="14" width="9" hidden="0" customWidth="1"/>
    <x:col min="15" max="15" width="8" hidden="0" customWidth="1"/>
    <x:col min="16" max="16" width="12" hidden="0" customWidth="1"/>
    <x:col min="17" max="17" width="13" hidden="0" customWidth="1"/>
    <x:col min="18" max="18" width="38" hidden="0" customWidth="1"/>
    <x:col min="19" max="19" width="18" hidden="0" customWidth="1"/>
    <x:col min="20" max="20" width="38" hidden="0" customWidth="1"/>
    <x:col min="21" max="21" width="46" hidden="0" customWidth="1"/>
  </x:cols>
  <x:sheetData>
    <x:row r="1" ht="28" customHeight="1">
      <x:c r="A1" s="4" t="str">
        <x:v>スウェーデン代表 — 選手データ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32" customHeight="1">
      <x:c r="A2" s="10" t="str">
        <x:v>市場価値と直近リーグ戦スタッツを比較する表示用シートです。選手名・クラブ名・リーグ名は検索互換性のため原表記を維持しています。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 ht="36" customHeight="1">
      <x:c r="A3" s="18" t="str">
        <x:v>国</x:v>
      </x:c>
      <x:c r="B3" s="18" t="str">
        <x:v>選手名</x:v>
      </x:c>
      <x:c r="C3" s="18" t="str">
        <x:v>ポジション</x:v>
      </x:c>
      <x:c r="D3" s="18" t="str">
        <x:v>区分</x:v>
      </x:c>
      <x:c r="E3" s="18" t="str">
        <x:v>年齢</x:v>
      </x:c>
      <x:c r="F3" s="18" t="str">
        <x:v>市場価値（百万€）</x:v>
      </x:c>
      <x:c r="G3" s="18" t="str">
        <x:v>対象シーズン</x:v>
      </x:c>
      <x:c r="H3" s="18" t="str">
        <x:v>リーグ</x:v>
      </x:c>
      <x:c r="I3" s="18" t="str">
        <x:v>所属クラブ</x:v>
      </x:c>
      <x:c r="J3" s="18" t="str">
        <x:v>出場</x:v>
      </x:c>
      <x:c r="K3" s="18" t="str">
        <x:v>先発</x:v>
      </x:c>
      <x:c r="L3" s="18" t="str">
        <x:v>出場時間（分）</x:v>
      </x:c>
      <x:c r="M3" s="18" t="str">
        <x:v>得点</x:v>
      </x:c>
      <x:c r="N3" s="18" t="str">
        <x:v>アシスト</x:v>
      </x:c>
      <x:c r="O3" s="18" t="str">
        <x:v>G+A</x:v>
      </x:c>
      <x:c r="P3" s="18" t="str">
        <x:v>90分あたりG+A</x:v>
      </x:c>
      <x:c r="Q3" s="18" t="str">
        <x:v>データ充足度</x:v>
      </x:c>
      <x:c r="R3" s="18" t="str">
        <x:v>市場価値出典URL</x:v>
      </x:c>
      <x:c r="S3" s="18" t="str">
        <x:v>スタッツ出典</x:v>
      </x:c>
      <x:c r="T3" s="18" t="str">
        <x:v>スタッツURL</x:v>
      </x:c>
      <x:c r="U3" s="18" t="str">
        <x:v>備考</x:v>
      </x:c>
    </x:row>
    <x:row r="4">
      <x:c r="A4" s="26" t="str">
        <x:v>スウェーデン</x:v>
      </x:c>
      <x:c r="B4" s="26" t="str">
        <x:v>Viktor Johansson</x:v>
      </x:c>
      <x:c r="C4" s="26" t="str">
        <x:v>ゴールキーパー</x:v>
      </x:c>
      <x:c r="D4" s="26" t="str">
        <x:v>GK</x:v>
      </x:c>
      <x:c r="E4" s="28" t="n">
        <x:v>27</x:v>
      </x:c>
      <x:c r="F4" s="30" t="n">
        <x:v>12</x:v>
      </x:c>
      <x:c r="G4" s="26" t="str">
        <x:v>2025/26</x:v>
      </x:c>
      <x:c r="H4" s="26" t="str">
        <x:v>Championship</x:v>
      </x:c>
      <x:c r="I4" s="26" t="str">
        <x:v>Stoke City</x:v>
      </x:c>
      <x:c r="J4" s="28" t="n">
        <x:v>25</x:v>
      </x:c>
      <x:c r="K4" s="28" t="n">
        <x:v>25</x:v>
      </x:c>
      <x:c r="L4" s="28" t="n">
        <x:v>2250</x:v>
      </x:c>
      <x:c r="M4" s="28" t="n">
        <x:v>0</x:v>
      </x:c>
      <x:c r="N4" s="28" t="n">
        <x:v>0</x:v>
      </x:c>
      <x:c r="O4" s="28" t="n">
        <x:f>IF(COUNT(M4:N4)&lt;2,"",SUM(M4:N4))</x:f>
        <x:v>0</x:v>
      </x:c>
      <x:c r="P4" s="32" t="n">
        <x:f>IF(OR(COUNT(L4)=0,L4=0,COUNT(O4)=0),"",O4*90/L4)</x:f>
        <x:v>0</x:v>
      </x:c>
      <x:c r="Q4" s="26" t="str">
        <x:v>完全</x:v>
      </x:c>
      <x:c r="R4" s="26" t="str">
        <x:v>https://www.transfermarkt.com/sweden/kader/verein/3557/saison_id/2026</x:v>
      </x:c>
      <x:c r="S4" s="26" t="str">
        <x:v>FBref</x:v>
      </x:c>
      <x:c r="T4" s="26" t="str">
        <x:v>https://fbref.com/en/players/e4a588a7/Viktor-Johansson</x:v>
      </x:c>
      <x:c r="U4" s="26"/>
    </x:row>
    <x:row r="5">
      <x:c r="A5" s="26" t="str">
        <x:v>スウェーデン</x:v>
      </x:c>
      <x:c r="B5" s="26" t="str">
        <x:v>Jacob Widell Zetterström</x:v>
      </x:c>
      <x:c r="C5" s="26" t="str">
        <x:v>ゴールキーパー</x:v>
      </x:c>
      <x:c r="D5" s="26" t="str">
        <x:v>GK</x:v>
      </x:c>
      <x:c r="E5" s="28" t="n">
        <x:v>28</x:v>
      </x:c>
      <x:c r="F5" s="30" t="n">
        <x:v>2.5</x:v>
      </x:c>
      <x:c r="G5" s="26" t="str">
        <x:v>2025/26</x:v>
      </x:c>
      <x:c r="H5" s="26" t="str">
        <x:v>Championship</x:v>
      </x:c>
      <x:c r="I5" s="26" t="str">
        <x:v>Derby County</x:v>
      </x:c>
      <x:c r="J5" s="28" t="n">
        <x:v>32</x:v>
      </x:c>
      <x:c r="K5" s="28" t="n">
        <x:v>32</x:v>
      </x:c>
      <x:c r="L5" s="28" t="n">
        <x:v>2880</x:v>
      </x:c>
      <x:c r="M5" s="28" t="n">
        <x:v>0</x:v>
      </x:c>
      <x:c r="N5" s="28" t="n">
        <x:v>0</x:v>
      </x:c>
      <x:c r="O5" s="28" t="n">
        <x:f>IF(COUNT(M5:N5)&lt;2,"",SUM(M5:N5))</x:f>
        <x:v>0</x:v>
      </x:c>
      <x:c r="P5" s="32" t="n">
        <x:f>IF(OR(COUNT(L5)=0,L5=0,COUNT(O5)=0),"",O5*90/L5)</x:f>
        <x:v>0</x:v>
      </x:c>
      <x:c r="Q5" s="26" t="str">
        <x:v>完全</x:v>
      </x:c>
      <x:c r="R5" s="26" t="str">
        <x:v>https://www.transfermarkt.com/sweden/kader/verein/3557/saison_id/2026</x:v>
      </x:c>
      <x:c r="S5" s="26" t="str">
        <x:v>Transfermarkt</x:v>
      </x:c>
      <x:c r="T5" s="26" t="str">
        <x:v>https://www.transfermarkt.com/schnellsuche/ergebnis/schnellsuche?query=Jacob+Widell+Zetterstr%C3%B6m</x:v>
      </x:c>
      <x:c r="U5" s="26"/>
    </x:row>
    <x:row r="6">
      <x:c r="A6" s="26" t="str">
        <x:v>スウェーデン</x:v>
      </x:c>
      <x:c r="B6" s="26" t="str">
        <x:v>Kristoffer Nordfeldt</x:v>
      </x:c>
      <x:c r="C6" s="26" t="str">
        <x:v>ゴールキーパー</x:v>
      </x:c>
      <x:c r="D6" s="26" t="str">
        <x:v>GK</x:v>
      </x:c>
      <x:c r="E6" s="28" t="n">
        <x:v>37</x:v>
      </x:c>
      <x:c r="F6" s="30" t="n">
        <x:v>0.175</x:v>
      </x:c>
      <x:c r="G6" s="26" t="str">
        <x:v>2025</x:v>
      </x:c>
      <x:c r="H6" s="26" t="str">
        <x:v>Allsvenskan</x:v>
      </x:c>
      <x:c r="I6" s="26" t="str">
        <x:v>AIK</x:v>
      </x:c>
      <x:c r="J6" s="28" t="n">
        <x:v>28</x:v>
      </x:c>
      <x:c r="K6" s="28" t="n">
        <x:v>28</x:v>
      </x:c>
      <x:c r="L6" s="28" t="n">
        <x:v>2520</x:v>
      </x:c>
      <x:c r="M6" s="28" t="n">
        <x:v>0</x:v>
      </x:c>
      <x:c r="N6" s="28" t="n">
        <x:v>0</x:v>
      </x:c>
      <x:c r="O6" s="28" t="n">
        <x:f>IF(COUNT(M6:N6)&lt;2,"",SUM(M6:N6))</x:f>
        <x:v>0</x:v>
      </x:c>
      <x:c r="P6" s="32" t="n">
        <x:f>IF(OR(COUNT(L6)=0,L6=0,COUNT(O6)=0),"",O6*90/L6)</x:f>
        <x:v>0</x:v>
      </x:c>
      <x:c r="Q6" s="26" t="str">
        <x:v>完全</x:v>
      </x:c>
      <x:c r="R6" s="26" t="str">
        <x:v>https://www.transfermarkt.com/sweden/kader/verein/3557/saison_id/2026</x:v>
      </x:c>
      <x:c r="S6" s="26" t="str">
        <x:v>FBref</x:v>
      </x:c>
      <x:c r="T6" s="26" t="str">
        <x:v>https://fbref.com/en/search/search.fcgi?search=Kristoffer+Nordfeldt</x:v>
      </x:c>
      <x:c r="U6" s="26"/>
    </x:row>
    <x:row r="7">
      <x:c r="A7" s="26" t="str">
        <x:v>スウェーデン</x:v>
      </x:c>
      <x:c r="B7" s="26" t="str">
        <x:v>Isak Hien</x:v>
      </x:c>
      <x:c r="C7" s="26" t="str">
        <x:v>センターバック</x:v>
      </x:c>
      <x:c r="D7" s="26" t="str">
        <x:v>DF</x:v>
      </x:c>
      <x:c r="E7" s="28" t="n">
        <x:v>27</x:v>
      </x:c>
      <x:c r="F7" s="30" t="n">
        <x:v>22</x:v>
      </x:c>
      <x:c r="G7" s="26" t="str">
        <x:v>2025/26</x:v>
      </x:c>
      <x:c r="H7" s="26" t="str">
        <x:v>Serie A</x:v>
      </x:c>
      <x:c r="I7" s="26" t="str">
        <x:v>Atalanta</x:v>
      </x:c>
      <x:c r="J7" s="28" t="n">
        <x:v>28</x:v>
      </x:c>
      <x:c r="K7" s="28" t="n">
        <x:v>20</x:v>
      </x:c>
      <x:c r="L7" s="28" t="n">
        <x:v>1964</x:v>
      </x:c>
      <x:c r="M7" s="28" t="n">
        <x:v>1</x:v>
      </x:c>
      <x:c r="N7" s="28" t="n">
        <x:v>0</x:v>
      </x:c>
      <x:c r="O7" s="28" t="n">
        <x:f>IF(COUNT(M7:N7)&lt;2,"",SUM(M7:N7))</x:f>
        <x:v>1</x:v>
      </x:c>
      <x:c r="P7" s="32" t="n">
        <x:f>IF(OR(COUNT(L7)=0,L7=0,COUNT(O7)=0),"",O7*90/L7)</x:f>
        <x:v>0.045824847250509164</x:v>
      </x:c>
      <x:c r="Q7" s="26" t="str">
        <x:v>完全</x:v>
      </x:c>
      <x:c r="R7" s="26" t="str">
        <x:v>https://www.transfermarkt.com/sweden/kader/verein/3557/saison_id/2026</x:v>
      </x:c>
      <x:c r="S7" s="26" t="str">
        <x:v>FBref</x:v>
      </x:c>
      <x:c r="T7" s="26" t="str">
        <x:v>https://fbref.com/en/search/search.fcgi?search=Isak+Hien</x:v>
      </x:c>
      <x:c r="U7" s="26"/>
    </x:row>
    <x:row r="8">
      <x:c r="A8" s="26" t="str">
        <x:v>スウェーデン</x:v>
      </x:c>
      <x:c r="B8" s="26" t="str">
        <x:v>Gustaf Lagerbielke</x:v>
      </x:c>
      <x:c r="C8" s="26" t="str">
        <x:v>センターバック</x:v>
      </x:c>
      <x:c r="D8" s="26" t="str">
        <x:v>DF</x:v>
      </x:c>
      <x:c r="E8" s="28" t="n">
        <x:v>26</x:v>
      </x:c>
      <x:c r="F8" s="30" t="n">
        <x:v>10</x:v>
      </x:c>
      <x:c r="G8" s="26" t="str">
        <x:v>2025/26</x:v>
      </x:c>
      <x:c r="H8" s="26" t="str">
        <x:v>Primeira Liga</x:v>
      </x:c>
      <x:c r="I8" s="26" t="str">
        <x:v>Braga</x:v>
      </x:c>
      <x:c r="J8" s="28" t="n">
        <x:v>28</x:v>
      </x:c>
      <x:c r="K8" s="28" t="n">
        <x:v>26</x:v>
      </x:c>
      <x:c r="L8" s="28" t="n">
        <x:v>2391</x:v>
      </x:c>
      <x:c r="M8" s="28" t="n">
        <x:v>2</x:v>
      </x:c>
      <x:c r="N8" s="28" t="n">
        <x:v>0</x:v>
      </x:c>
      <x:c r="O8" s="28" t="n">
        <x:f>IF(COUNT(M8:N8)&lt;2,"",SUM(M8:N8))</x:f>
        <x:v>2</x:v>
      </x:c>
      <x:c r="P8" s="32" t="n">
        <x:f>IF(OR(COUNT(L8)=0,L8=0,COUNT(O8)=0),"",O8*90/L8)</x:f>
        <x:v>0.07528230865746549</x:v>
      </x:c>
      <x:c r="Q8" s="26" t="str">
        <x:v>完全</x:v>
      </x:c>
      <x:c r="R8" s="26" t="str">
        <x:v>https://www.transfermarkt.com/sweden/kader/verein/3557/saison_id/2026</x:v>
      </x:c>
      <x:c r="S8" s="26" t="str">
        <x:v>Transfermarkt</x:v>
      </x:c>
      <x:c r="T8" s="26" t="str">
        <x:v>https://www.transfermarkt.com/schnellsuche/ergebnis/schnellsuche?query=Gustaf+Lagerbielke</x:v>
      </x:c>
      <x:c r="U8" s="26"/>
    </x:row>
    <x:row r="9">
      <x:c r="A9" s="26" t="str">
        <x:v>スウェーデン</x:v>
      </x:c>
      <x:c r="B9" s="26" t="str">
        <x:v>Victor Lindelöf</x:v>
      </x:c>
      <x:c r="C9" s="26" t="str">
        <x:v>センターバック</x:v>
      </x:c>
      <x:c r="D9" s="26" t="str">
        <x:v>DF</x:v>
      </x:c>
      <x:c r="E9" s="28" t="n">
        <x:v>32</x:v>
      </x:c>
      <x:c r="F9" s="30" t="n">
        <x:v>5</x:v>
      </x:c>
      <x:c r="G9" s="26" t="str">
        <x:v>2025/26</x:v>
      </x:c>
      <x:c r="H9" s="26" t="str">
        <x:v>Premier League</x:v>
      </x:c>
      <x:c r="I9" s="26" t="str">
        <x:v>Aston Villa</x:v>
      </x:c>
      <x:c r="J9" s="28" t="n">
        <x:v>17</x:v>
      </x:c>
      <x:c r="K9" s="28" t="n">
        <x:v>11</x:v>
      </x:c>
      <x:c r="L9" s="28" t="n">
        <x:v>945</x:v>
      </x:c>
      <x:c r="M9" s="28" t="n">
        <x:v>0</x:v>
      </x:c>
      <x:c r="N9" s="28" t="n">
        <x:v>1</x:v>
      </x:c>
      <x:c r="O9" s="28" t="n">
        <x:f>IF(COUNT(M9:N9)&lt;2,"",SUM(M9:N9))</x:f>
        <x:v>1</x:v>
      </x:c>
      <x:c r="P9" s="32" t="n">
        <x:f>IF(OR(COUNT(L9)=0,L9=0,COUNT(O9)=0),"",O9*90/L9)</x:f>
        <x:v>0.09523809523809523</x:v>
      </x:c>
      <x:c r="Q9" s="26" t="str">
        <x:v>完全</x:v>
      </x:c>
      <x:c r="R9" s="26" t="str">
        <x:v>https://www.transfermarkt.com/sweden/kader/verein/3557/saison_id/2026</x:v>
      </x:c>
      <x:c r="S9" s="26" t="str">
        <x:v>FBref</x:v>
      </x:c>
      <x:c r="T9" s="26" t="str">
        <x:v>https://fbref.com/en/search/search.fcgi?search=Victor+Lindel%C3%B6f</x:v>
      </x:c>
      <x:c r="U9" s="26"/>
    </x:row>
    <x:row r="10">
      <x:c r="A10" s="26" t="str">
        <x:v>スウェーデン</x:v>
      </x:c>
      <x:c r="B10" s="26" t="str">
        <x:v>Hjalmar Ekdal</x:v>
      </x:c>
      <x:c r="C10" s="26" t="str">
        <x:v>センターバック</x:v>
      </x:c>
      <x:c r="D10" s="26" t="str">
        <x:v>DF</x:v>
      </x:c>
      <x:c r="E10" s="28" t="n">
        <x:v>27</x:v>
      </x:c>
      <x:c r="F10" s="30" t="n">
        <x:v>5</x:v>
      </x:c>
      <x:c r="G10" s="26" t="str">
        <x:v>2025/26</x:v>
      </x:c>
      <x:c r="H10" s="26" t="str">
        <x:v>Premier League</x:v>
      </x:c>
      <x:c r="I10" s="26" t="str">
        <x:v>Burnley</x:v>
      </x:c>
      <x:c r="J10" s="28" t="n">
        <x:v>19</x:v>
      </x:c>
      <x:c r="K10" s="28" t="n">
        <x:v>17</x:v>
      </x:c>
      <x:c r="L10" s="28" t="n">
        <x:v>1539</x:v>
      </x:c>
      <x:c r="M10" s="28" t="n">
        <x:v>0</x:v>
      </x:c>
      <x:c r="N10" s="28" t="n">
        <x:v>0</x:v>
      </x:c>
      <x:c r="O10" s="28" t="n">
        <x:f>IF(COUNT(M10:N10)&lt;2,"",SUM(M10:N10))</x:f>
        <x:v>0</x:v>
      </x:c>
      <x:c r="P10" s="32" t="n">
        <x:f>IF(OR(COUNT(L10)=0,L10=0,COUNT(O10)=0),"",O10*90/L10)</x:f>
        <x:v>0</x:v>
      </x:c>
      <x:c r="Q10" s="26" t="str">
        <x:v>完全</x:v>
      </x:c>
      <x:c r="R10" s="26" t="str">
        <x:v>https://www.transfermarkt.com/sweden/kader/verein/3557/saison_id/2026</x:v>
      </x:c>
      <x:c r="S10" s="26" t="str">
        <x:v>FBref</x:v>
      </x:c>
      <x:c r="T10" s="26" t="str">
        <x:v>https://fbref.com/en/search/search.fcgi?search=Hjalmar+Ekdal</x:v>
      </x:c>
      <x:c r="U10" s="26"/>
    </x:row>
    <x:row r="11">
      <x:c r="A11" s="26" t="str">
        <x:v>スウェーデン</x:v>
      </x:c>
      <x:c r="B11" s="26" t="str">
        <x:v>Eric Smith</x:v>
      </x:c>
      <x:c r="C11" s="26" t="str">
        <x:v>センターバック</x:v>
      </x:c>
      <x:c r="D11" s="26" t="str">
        <x:v>DF</x:v>
      </x:c>
      <x:c r="E11" s="28" t="n">
        <x:v>29</x:v>
      </x:c>
      <x:c r="F11" s="30" t="n">
        <x:v>5</x:v>
      </x:c>
      <x:c r="G11" s="26" t="str">
        <x:v>2025/26</x:v>
      </x:c>
      <x:c r="H11" s="26" t="str">
        <x:v>Bundesliga</x:v>
      </x:c>
      <x:c r="I11" s="26" t="str">
        <x:v>St. Pauli</x:v>
      </x:c>
      <x:c r="J11" s="28" t="n">
        <x:v>27</x:v>
      </x:c>
      <x:c r="K11" s="28" t="n">
        <x:v>26</x:v>
      </x:c>
      <x:c r="L11" s="28" t="n">
        <x:v>2313</x:v>
      </x:c>
      <x:c r="M11" s="28" t="n">
        <x:v>2</x:v>
      </x:c>
      <x:c r="N11" s="28" t="n">
        <x:v>2</x:v>
      </x:c>
      <x:c r="O11" s="28" t="n">
        <x:f>IF(COUNT(M11:N11)&lt;2,"",SUM(M11:N11))</x:f>
        <x:v>4</x:v>
      </x:c>
      <x:c r="P11" s="32" t="n">
        <x:f>IF(OR(COUNT(L11)=0,L11=0,COUNT(O11)=0),"",O11*90/L11)</x:f>
        <x:v>0.1556420233463035</x:v>
      </x:c>
      <x:c r="Q11" s="26" t="str">
        <x:v>完全</x:v>
      </x:c>
      <x:c r="R11" s="26" t="str">
        <x:v>https://www.transfermarkt.com/sweden/kader/verein/3557/saison_id/2026</x:v>
      </x:c>
      <x:c r="S11" s="26" t="str">
        <x:v>FBref</x:v>
      </x:c>
      <x:c r="T11" s="26" t="str">
        <x:v>https://fbref.com/en/search/search.fcgi?search=Eric+Smith</x:v>
      </x:c>
      <x:c r="U11" s="26"/>
    </x:row>
    <x:row r="12">
      <x:c r="A12" s="26" t="str">
        <x:v>スウェーデン</x:v>
      </x:c>
      <x:c r="B12" s="26" t="str">
        <x:v>Carl Starfelt</x:v>
      </x:c>
      <x:c r="C12" s="26" t="str">
        <x:v>センターバック</x:v>
      </x:c>
      <x:c r="D12" s="26" t="str">
        <x:v>DF</x:v>
      </x:c>
      <x:c r="E12" s="28" t="n">
        <x:v>31</x:v>
      </x:c>
      <x:c r="F12" s="30" t="n">
        <x:v>4.5</x:v>
      </x:c>
      <x:c r="G12" s="26" t="str">
        <x:v>2025/26</x:v>
      </x:c>
      <x:c r="H12" s="26" t="str">
        <x:v>La Liga</x:v>
      </x:c>
      <x:c r="I12" s="26" t="str">
        <x:v>Celta Vigo</x:v>
      </x:c>
      <x:c r="J12" s="28" t="n">
        <x:v>19</x:v>
      </x:c>
      <x:c r="K12" s="28" t="n">
        <x:v>17</x:v>
      </x:c>
      <x:c r="L12" s="28" t="n">
        <x:v>1492</x:v>
      </x:c>
      <x:c r="M12" s="28" t="n">
        <x:v>0</x:v>
      </x:c>
      <x:c r="N12" s="28" t="n">
        <x:v>0</x:v>
      </x:c>
      <x:c r="O12" s="28" t="n">
        <x:f>IF(COUNT(M12:N12)&lt;2,"",SUM(M12:N12))</x:f>
        <x:v>0</x:v>
      </x:c>
      <x:c r="P12" s="32" t="n">
        <x:f>IF(OR(COUNT(L12)=0,L12=0,COUNT(O12)=0),"",O12*90/L12)</x:f>
        <x:v>0</x:v>
      </x:c>
      <x:c r="Q12" s="26" t="str">
        <x:v>完全</x:v>
      </x:c>
      <x:c r="R12" s="26" t="str">
        <x:v>https://www.transfermarkt.com/sweden/kader/verein/3557/saison_id/2026</x:v>
      </x:c>
      <x:c r="S12" s="26" t="str">
        <x:v>FBref</x:v>
      </x:c>
      <x:c r="T12" s="26" t="str">
        <x:v>https://fbref.com/en/search/search.fcgi?search=Carl+Starfelt</x:v>
      </x:c>
      <x:c r="U12" s="26"/>
    </x:row>
    <x:row r="13">
      <x:c r="A13" s="26" t="str">
        <x:v>スウェーデン</x:v>
      </x:c>
      <x:c r="B13" s="26" t="str">
        <x:v>Daniel Svensson</x:v>
      </x:c>
      <x:c r="C13" s="26" t="str">
        <x:v>左サイドバック</x:v>
      </x:c>
      <x:c r="D13" s="26" t="str">
        <x:v>DF</x:v>
      </x:c>
      <x:c r="E13" s="28" t="n">
        <x:v>24</x:v>
      </x:c>
      <x:c r="F13" s="30" t="n">
        <x:v>22</x:v>
      </x:c>
      <x:c r="G13" s="26" t="str">
        <x:v>2025/26</x:v>
      </x:c>
      <x:c r="H13" s="26" t="str">
        <x:v>Bundesliga</x:v>
      </x:c>
      <x:c r="I13" s="26" t="str">
        <x:v>Borussia Dortmund</x:v>
      </x:c>
      <x:c r="J13" s="28" t="n">
        <x:v>33</x:v>
      </x:c>
      <x:c r="K13" s="28" t="n">
        <x:v>27</x:v>
      </x:c>
      <x:c r="L13" s="28" t="n">
        <x:v>2452</x:v>
      </x:c>
      <x:c r="M13" s="28" t="n">
        <x:v>2</x:v>
      </x:c>
      <x:c r="N13" s="28" t="n">
        <x:v>2</x:v>
      </x:c>
      <x:c r="O13" s="28" t="n">
        <x:f>IF(COUNT(M13:N13)&lt;2,"",SUM(M13:N13))</x:f>
        <x:v>4</x:v>
      </x:c>
      <x:c r="P13" s="32" t="n">
        <x:f>IF(OR(COUNT(L13)=0,L13=0,COUNT(O13)=0),"",O13*90/L13)</x:f>
        <x:v>0.1468189233278956</x:v>
      </x:c>
      <x:c r="Q13" s="26" t="str">
        <x:v>完全</x:v>
      </x:c>
      <x:c r="R13" s="26" t="str">
        <x:v>https://www.transfermarkt.com/sweden/kader/verein/3557/saison_id/2026</x:v>
      </x:c>
      <x:c r="S13" s="26" t="str">
        <x:v>FBref</x:v>
      </x:c>
      <x:c r="T13" s="26" t="str">
        <x:v>https://fbref.com/en/search/search.fcgi?search=Daniel+Svensson</x:v>
      </x:c>
      <x:c r="U13" s="26"/>
    </x:row>
    <x:row r="14">
      <x:c r="A14" s="26" t="str">
        <x:v>スウェーデン</x:v>
      </x:c>
      <x:c r="B14" s="26" t="str">
        <x:v>Gabriel Gudmundsson</x:v>
      </x:c>
      <x:c r="C14" s="26" t="str">
        <x:v>左サイドバック</x:v>
      </x:c>
      <x:c r="D14" s="26" t="str">
        <x:v>DF</x:v>
      </x:c>
      <x:c r="E14" s="28" t="n">
        <x:v>27</x:v>
      </x:c>
      <x:c r="F14" s="30" t="n">
        <x:v>20</x:v>
      </x:c>
      <x:c r="G14" s="26" t="str">
        <x:v>2025/26</x:v>
      </x:c>
      <x:c r="H14" s="26" t="str">
        <x:v>Premier League</x:v>
      </x:c>
      <x:c r="I14" s="26" t="str">
        <x:v>Leeds United</x:v>
      </x:c>
      <x:c r="J14" s="28" t="n">
        <x:v>32</x:v>
      </x:c>
      <x:c r="K14" s="28" t="n">
        <x:v>31</x:v>
      </x:c>
      <x:c r="L14" s="28" t="n">
        <x:v>2640</x:v>
      </x:c>
      <x:c r="M14" s="28" t="n">
        <x:v>0</x:v>
      </x:c>
      <x:c r="N14" s="28" t="n">
        <x:v>0</x:v>
      </x:c>
      <x:c r="O14" s="28" t="n">
        <x:f>IF(COUNT(M14:N14)&lt;2,"",SUM(M14:N14))</x:f>
        <x:v>0</x:v>
      </x:c>
      <x:c r="P14" s="32" t="n">
        <x:f>IF(OR(COUNT(L14)=0,L14=0,COUNT(O14)=0),"",O14*90/L14)</x:f>
        <x:v>0</x:v>
      </x:c>
      <x:c r="Q14" s="26" t="str">
        <x:v>完全</x:v>
      </x:c>
      <x:c r="R14" s="26" t="str">
        <x:v>https://www.transfermarkt.com/sweden/kader/verein/3557/saison_id/2026</x:v>
      </x:c>
      <x:c r="S14" s="26" t="str">
        <x:v>FBref</x:v>
      </x:c>
      <x:c r="T14" s="26" t="str">
        <x:v>https://fbref.com/en/search/search.fcgi?search=Gabriel+Gudmundsson</x:v>
      </x:c>
      <x:c r="U14" s="26"/>
    </x:row>
    <x:row r="15">
      <x:c r="A15" s="26" t="str">
        <x:v>スウェーデン</x:v>
      </x:c>
      <x:c r="B15" s="26" t="str">
        <x:v>Ken Sema</x:v>
      </x:c>
      <x:c r="C15" s="26" t="str">
        <x:v>左サイドバック</x:v>
      </x:c>
      <x:c r="D15" s="26" t="str">
        <x:v>DF</x:v>
      </x:c>
      <x:c r="E15" s="28" t="n">
        <x:v>32</x:v>
      </x:c>
      <x:c r="F15" s="30" t="n">
        <x:v>0.8</x:v>
      </x:c>
      <x:c r="G15" s="26" t="str">
        <x:v>2025/26</x:v>
      </x:c>
      <x:c r="H15" s="26" t="str">
        <x:v>Cypriot First Division</x:v>
      </x:c>
      <x:c r="I15" s="26" t="str">
        <x:v>Pafos</x:v>
      </x:c>
      <x:c r="J15" s="28" t="n">
        <x:v>23</x:v>
      </x:c>
      <x:c r="K15" s="28" t="n">
        <x:v>12</x:v>
      </x:c>
      <x:c r="L15" s="28" t="n">
        <x:v>1094</x:v>
      </x:c>
      <x:c r="M15" s="28" t="n">
        <x:v>0</x:v>
      </x:c>
      <x:c r="N15" s="28" t="n">
        <x:v>0</x:v>
      </x:c>
      <x:c r="O15" s="28" t="n">
        <x:f>IF(COUNT(M15:N15)&lt;2,"",SUM(M15:N15))</x:f>
        <x:v>0</x:v>
      </x:c>
      <x:c r="P15" s="32" t="n">
        <x:f>IF(OR(COUNT(L15)=0,L15=0,COUNT(O15)=0),"",O15*90/L15)</x:f>
        <x:v>0</x:v>
      </x:c>
      <x:c r="Q15" s="26" t="str">
        <x:v>完全</x:v>
      </x:c>
      <x:c r="R15" s="26" t="str">
        <x:v>https://www.transfermarkt.com/sweden/kader/verein/3557/saison_id/2026</x:v>
      </x:c>
      <x:c r="S15" s="26" t="str">
        <x:v>Transfermarkt</x:v>
      </x:c>
      <x:c r="T15" s="26" t="str">
        <x:v>https://www.transfermarkt.com/schnellsuche/ergebnis/schnellsuche?query=Ken+Sema</x:v>
      </x:c>
      <x:c r="U15" s="26"/>
    </x:row>
    <x:row r="16">
      <x:c r="A16" s="26" t="str">
        <x:v>スウェーデン</x:v>
      </x:c>
      <x:c r="B16" s="26" t="str">
        <x:v>Jesper Karlström</x:v>
      </x:c>
      <x:c r="C16" s="26" t="str">
        <x:v>守備的MF</x:v>
      </x:c>
      <x:c r="D16" s="26" t="str">
        <x:v>MF</x:v>
      </x:c>
      <x:c r="E16" s="28" t="n">
        <x:v>31</x:v>
      </x:c>
      <x:c r="F16" s="30" t="n">
        <x:v>4</x:v>
      </x:c>
      <x:c r="G16" s="26" t="str">
        <x:v>2025/26</x:v>
      </x:c>
      <x:c r="H16" s="26" t="str">
        <x:v>Serie A</x:v>
      </x:c>
      <x:c r="I16" s="26" t="str">
        <x:v>Udinese</x:v>
      </x:c>
      <x:c r="J16" s="28" t="n">
        <x:v>36</x:v>
      </x:c>
      <x:c r="K16" s="28" t="n">
        <x:v>36</x:v>
      </x:c>
      <x:c r="L16" s="28" t="n">
        <x:v>3153</x:v>
      </x:c>
      <x:c r="M16" s="28" t="n">
        <x:v>1</x:v>
      </x:c>
      <x:c r="N16" s="28" t="n">
        <x:v>0</x:v>
      </x:c>
      <x:c r="O16" s="28" t="n">
        <x:f>IF(COUNT(M16:N16)&lt;2,"",SUM(M16:N16))</x:f>
        <x:v>1</x:v>
      </x:c>
      <x:c r="P16" s="32" t="n">
        <x:f>IF(OR(COUNT(L16)=0,L16=0,COUNT(O16)=0),"",O16*90/L16)</x:f>
        <x:v>0.028544243577545196</x:v>
      </x:c>
      <x:c r="Q16" s="26" t="str">
        <x:v>完全</x:v>
      </x:c>
      <x:c r="R16" s="26" t="str">
        <x:v>https://www.transfermarkt.com/sweden/kader/verein/3557/saison_id/2026</x:v>
      </x:c>
      <x:c r="S16" s="26" t="str">
        <x:v>FBref</x:v>
      </x:c>
      <x:c r="T16" s="26" t="str">
        <x:v>https://fbref.com/en/search/search.fcgi?search=Jesper+Karlstr%C3%B6m</x:v>
      </x:c>
      <x:c r="U16" s="26"/>
    </x:row>
    <x:row r="17">
      <x:c r="A17" s="26" t="str">
        <x:v>スウェーデン</x:v>
      </x:c>
      <x:c r="B17" s="26" t="str">
        <x:v>Yasin Ayari</x:v>
      </x:c>
      <x:c r="C17" s="26" t="str">
        <x:v>セントラルMF</x:v>
      </x:c>
      <x:c r="D17" s="26" t="str">
        <x:v>MF</x:v>
      </x:c>
      <x:c r="E17" s="28" t="n">
        <x:v>22</x:v>
      </x:c>
      <x:c r="F17" s="30" t="n">
        <x:v>40</x:v>
      </x:c>
      <x:c r="G17" s="26" t="str">
        <x:v>2025/26</x:v>
      </x:c>
      <x:c r="H17" s="26" t="str">
        <x:v>Premier League</x:v>
      </x:c>
      <x:c r="I17" s="26" t="str">
        <x:v>Brighton</x:v>
      </x:c>
      <x:c r="J17" s="28" t="n">
        <x:v>29</x:v>
      </x:c>
      <x:c r="K17" s="28"/>
      <x:c r="L17" s="28" t="n">
        <x:v>1925</x:v>
      </x:c>
      <x:c r="M17" s="28" t="n">
        <x:v>3</x:v>
      </x:c>
      <x:c r="N17" s="28" t="n">
        <x:v>0</x:v>
      </x:c>
      <x:c r="O17" s="28" t="n">
        <x:f>IF(COUNT(M17:N17)&lt;2,"",SUM(M17:N17))</x:f>
        <x:v>3</x:v>
      </x:c>
      <x:c r="P17" s="32" t="n">
        <x:f>IF(OR(COUNT(L17)=0,L17=0,COUNT(O17)=0),"",O17*90/L17)</x:f>
        <x:v>0.14025974025974025</x:v>
      </x:c>
      <x:c r="Q17" s="26" t="str">
        <x:v>一部</x:v>
      </x:c>
      <x:c r="R17" s="26" t="str">
        <x:v>https://www.transfermarkt.com/sweden/kader/verein/3557/saison_id/2026</x:v>
      </x:c>
      <x:c r="S17" s="26" t="str">
        <x:v>FBref</x:v>
      </x:c>
      <x:c r="T17" s="26" t="str">
        <x:v>https://fbref.com/en/search/search.fcgi?search=Yasin+Ayari</x:v>
      </x:c>
      <x:c r="U17" s="26" t="str">
        <x:v>Starts not reliably verified in source snapshot.</x:v>
      </x:c>
    </x:row>
    <x:row r="18">
      <x:c r="A18" s="26" t="str">
        <x:v>スウェーデン</x:v>
      </x:c>
      <x:c r="B18" s="26" t="str">
        <x:v>Lucas Bergvall</x:v>
      </x:c>
      <x:c r="C18" s="26" t="str">
        <x:v>セントラルMF</x:v>
      </x:c>
      <x:c r="D18" s="26" t="str">
        <x:v>MF</x:v>
      </x:c>
      <x:c r="E18" s="28" t="n">
        <x:v>20</x:v>
      </x:c>
      <x:c r="F18" s="30" t="n">
        <x:v>35</x:v>
      </x:c>
      <x:c r="G18" s="26" t="str">
        <x:v>2025/26</x:v>
      </x:c>
      <x:c r="H18" s="26" t="str">
        <x:v>Premier League</x:v>
      </x:c>
      <x:c r="I18" s="26" t="str">
        <x:v>Tottenham Hotspur</x:v>
      </x:c>
      <x:c r="J18" s="28" t="n">
        <x:v>23</x:v>
      </x:c>
      <x:c r="K18" s="28"/>
      <x:c r="L18" s="28" t="n">
        <x:v>965</x:v>
      </x:c>
      <x:c r="M18" s="28" t="n">
        <x:v>1</x:v>
      </x:c>
      <x:c r="N18" s="28" t="n">
        <x:v>3</x:v>
      </x:c>
      <x:c r="O18" s="28" t="n">
        <x:f>IF(COUNT(M18:N18)&lt;2,"",SUM(M18:N18))</x:f>
        <x:v>4</x:v>
      </x:c>
      <x:c r="P18" s="32" t="n">
        <x:f>IF(OR(COUNT(L18)=0,L18=0,COUNT(O18)=0),"",O18*90/L18)</x:f>
        <x:v>0.37305699481865284</x:v>
      </x:c>
      <x:c r="Q18" s="26" t="str">
        <x:v>一部</x:v>
      </x:c>
      <x:c r="R18" s="26" t="str">
        <x:v>https://www.transfermarkt.com/sweden/kader/verein/3557/saison_id/2026</x:v>
      </x:c>
      <x:c r="S18" s="26" t="str">
        <x:v>FBref</x:v>
      </x:c>
      <x:c r="T18" s="26" t="str">
        <x:v>https://fbref.com/en/players/a109e5c8/</x:v>
      </x:c>
      <x:c r="U18" s="26" t="str">
        <x:v>Starts not reliably verified in source snapshot.</x:v>
      </x:c>
    </x:row>
    <x:row r="19">
      <x:c r="A19" s="26" t="str">
        <x:v>スウェーデン</x:v>
      </x:c>
      <x:c r="B19" s="26" t="str">
        <x:v>Mattias Svanberg</x:v>
      </x:c>
      <x:c r="C19" s="26" t="str">
        <x:v>セントラルMF</x:v>
      </x:c>
      <x:c r="D19" s="26" t="str">
        <x:v>MF</x:v>
      </x:c>
      <x:c r="E19" s="28" t="n">
        <x:v>27</x:v>
      </x:c>
      <x:c r="F19" s="30" t="n">
        <x:v>8</x:v>
      </x:c>
      <x:c r="G19" s="26" t="str">
        <x:v>2025/26</x:v>
      </x:c>
      <x:c r="H19" s="26" t="str">
        <x:v>Bundesliga</x:v>
      </x:c>
      <x:c r="I19" s="26" t="str">
        <x:v>Wolfsburg</x:v>
      </x:c>
      <x:c r="J19" s="28" t="n">
        <x:v>24</x:v>
      </x:c>
      <x:c r="K19" s="28"/>
      <x:c r="L19" s="28" t="n">
        <x:v>861</x:v>
      </x:c>
      <x:c r="M19" s="28" t="n">
        <x:v>3</x:v>
      </x:c>
      <x:c r="N19" s="28" t="n">
        <x:v>1</x:v>
      </x:c>
      <x:c r="O19" s="28" t="n">
        <x:f>IF(COUNT(M19:N19)&lt;2,"",SUM(M19:N19))</x:f>
        <x:v>4</x:v>
      </x:c>
      <x:c r="P19" s="32" t="n">
        <x:f>IF(OR(COUNT(L19)=0,L19=0,COUNT(O19)=0),"",O19*90/L19)</x:f>
        <x:v>0.4181184668989547</x:v>
      </x:c>
      <x:c r="Q19" s="26" t="str">
        <x:v>一部</x:v>
      </x:c>
      <x:c r="R19" s="26" t="str">
        <x:v>https://www.transfermarkt.com/sweden/kader/verein/3557/saison_id/2026</x:v>
      </x:c>
      <x:c r="S19" s="26" t="str">
        <x:v>FBref</x:v>
      </x:c>
      <x:c r="T19" s="26" t="str">
        <x:v>https://fbref.com/en/players/92d83c27/</x:v>
      </x:c>
      <x:c r="U19" s="26" t="str">
        <x:v>Starts not reliably verified in source snapshot.</x:v>
      </x:c>
    </x:row>
    <x:row r="20">
      <x:c r="A20" s="26" t="str">
        <x:v>スウェーデン</x:v>
      </x:c>
      <x:c r="B20" s="26" t="str">
        <x:v>Besfort Zeneli</x:v>
      </x:c>
      <x:c r="C20" s="26" t="str">
        <x:v>セントラルMF</x:v>
      </x:c>
      <x:c r="D20" s="26" t="str">
        <x:v>MF</x:v>
      </x:c>
      <x:c r="E20" s="28" t="n">
        <x:v>23</x:v>
      </x:c>
      <x:c r="F20" s="30" t="n">
        <x:v>6</x:v>
      </x:c>
      <x:c r="G20" s="26" t="str">
        <x:v>2025 + 2025/26</x:v>
      </x:c>
      <x:c r="H20" s="26" t="str">
        <x:v>Allsvenskan + Belgian Pro League</x:v>
      </x:c>
      <x:c r="I20" s="26" t="str">
        <x:v>Elfsborg + Union Saint-Gilloise</x:v>
      </x:c>
      <x:c r="J20" s="28" t="n">
        <x:v>42</x:v>
      </x:c>
      <x:c r="K20" s="28"/>
      <x:c r="L20" s="28"/>
      <x:c r="M20" s="28" t="n">
        <x:v>5</x:v>
      </x:c>
      <x:c r="N20" s="28" t="n">
        <x:v>13</x:v>
      </x:c>
      <x:c r="O20" s="28" t="n">
        <x:f>IF(COUNT(M20:N20)&lt;2,"",SUM(M20:N20))</x:f>
        <x:v>18</x:v>
      </x:c>
      <x:c r="P20" s="32" t="str">
        <x:f>IF(OR(COUNT(L20)=0,L20=0,COUNT(O20)=0),"",O20*90/L20)</x:f>
      </x:c>
      <x:c r="Q20" s="26" t="str">
        <x:v>一部</x:v>
      </x:c>
      <x:c r="R20" s="26" t="str">
        <x:v>https://www.transfermarkt.com/sweden/kader/verein/3557/saison_id/2026</x:v>
      </x:c>
      <x:c r="S20" s="26" t="str">
        <x:v>Transfermarkt</x:v>
      </x:c>
      <x:c r="T20" s="26" t="str">
        <x:v>https://www.transfermarkt.com/schnellsuche/ergebnis/schnellsuche?query=Besfort+Zeneli</x:v>
      </x:c>
      <x:c r="U20" s="26" t="str">
        <x:v>Cross-calendar aggregate reported by source; starts/minutes unavailable.</x:v>
      </x:c>
    </x:row>
    <x:row r="21">
      <x:c r="A21" s="26" t="str">
        <x:v>スウェーデン</x:v>
      </x:c>
      <x:c r="B21" s="26" t="str">
        <x:v>Herman Johansson</x:v>
      </x:c>
      <x:c r="C21" s="26" t="str">
        <x:v>右MF</x:v>
      </x:c>
      <x:c r="D21" s="26" t="str">
        <x:v>MF</x:v>
      </x:c>
      <x:c r="E21" s="28" t="n">
        <x:v>28</x:v>
      </x:c>
      <x:c r="F21" s="30" t="n">
        <x:v>1.8</x:v>
      </x:c>
      <x:c r="G21" s="26" t="str">
        <x:v>2025</x:v>
      </x:c>
      <x:c r="H21" s="26" t="str">
        <x:v>Allsvenskan</x:v>
      </x:c>
      <x:c r="I21" s="26" t="str">
        <x:v>Mjällby</x:v>
      </x:c>
      <x:c r="J21" s="28" t="n">
        <x:v>30</x:v>
      </x:c>
      <x:c r="K21" s="28" t="n">
        <x:v>27</x:v>
      </x:c>
      <x:c r="L21" s="28" t="n">
        <x:v>2288</x:v>
      </x:c>
      <x:c r="M21" s="28" t="n">
        <x:v>7</x:v>
      </x:c>
      <x:c r="N21" s="28" t="n">
        <x:v>8</x:v>
      </x:c>
      <x:c r="O21" s="28" t="n">
        <x:f>IF(COUNT(M21:N21)&lt;2,"",SUM(M21:N21))</x:f>
        <x:v>15</x:v>
      </x:c>
      <x:c r="P21" s="32" t="n">
        <x:f>IF(OR(COUNT(L21)=0,L21=0,COUNT(O21)=0),"",O21*90/L21)</x:f>
        <x:v>0.590034965034965</x:v>
      </x:c>
      <x:c r="Q21" s="26" t="str">
        <x:v>完全</x:v>
      </x:c>
      <x:c r="R21" s="26" t="str">
        <x:v>https://www.transfermarkt.com/sweden/kader/verein/3557/saison_id/2026</x:v>
      </x:c>
      <x:c r="S21" s="26" t="str">
        <x:v>Opta Analyst</x:v>
      </x:c>
      <x:c r="T21" s="26" t="str">
        <x:v>https://theanalyst.com/players/11718/herman-johansson/career</x:v>
      </x:c>
      <x:c r="U21" s="26"/>
    </x:row>
    <x:row r="22">
      <x:c r="A22" s="26" t="str">
        <x:v>スウェーデン</x:v>
      </x:c>
      <x:c r="B22" s="26" t="str">
        <x:v>Elliot Stroud</x:v>
      </x:c>
      <x:c r="C22" s="26" t="str">
        <x:v>左MF</x:v>
      </x:c>
      <x:c r="D22" s="26" t="str">
        <x:v>MF</x:v>
      </x:c>
      <x:c r="E22" s="28" t="n">
        <x:v>24</x:v>
      </x:c>
      <x:c r="F22" s="30" t="n">
        <x:v>8</x:v>
      </x:c>
      <x:c r="G22" s="26" t="str">
        <x:v>2025</x:v>
      </x:c>
      <x:c r="H22" s="26" t="str">
        <x:v>Allsvenskan</x:v>
      </x:c>
      <x:c r="I22" s="26" t="str">
        <x:v>Mjällby</x:v>
      </x:c>
      <x:c r="J22" s="28" t="n">
        <x:v>28</x:v>
      </x:c>
      <x:c r="K22" s="28" t="n">
        <x:v>27</x:v>
      </x:c>
      <x:c r="L22" s="28" t="n">
        <x:v>2446</x:v>
      </x:c>
      <x:c r="M22" s="28" t="n">
        <x:v>10</x:v>
      </x:c>
      <x:c r="N22" s="28" t="n">
        <x:v>5</x:v>
      </x:c>
      <x:c r="O22" s="28" t="n">
        <x:f>IF(COUNT(M22:N22)&lt;2,"",SUM(M22:N22))</x:f>
        <x:v>15</x:v>
      </x:c>
      <x:c r="P22" s="32" t="n">
        <x:f>IF(OR(COUNT(L22)=0,L22=0,COUNT(O22)=0),"",O22*90/L22)</x:f>
        <x:v>0.5519215044971382</x:v>
      </x:c>
      <x:c r="Q22" s="26" t="str">
        <x:v>完全</x:v>
      </x:c>
      <x:c r="R22" s="26" t="str">
        <x:v>https://www.transfermarkt.com/sweden/kader/verein/3557/saison_id/2026</x:v>
      </x:c>
      <x:c r="S22" s="26" t="str">
        <x:v>FBref</x:v>
      </x:c>
      <x:c r="T22" s="26" t="str">
        <x:v>https://fbref.com/en/players/ff11bdec/</x:v>
      </x:c>
      <x:c r="U22" s="26"/>
    </x:row>
    <x:row r="23">
      <x:c r="A23" s="26" t="str">
        <x:v>スウェーデン</x:v>
      </x:c>
      <x:c r="B23" s="26" t="str">
        <x:v>Benjamin Nygren</x:v>
      </x:c>
      <x:c r="C23" s="26" t="str">
        <x:v>攻撃的MF</x:v>
      </x:c>
      <x:c r="D23" s="26" t="str">
        <x:v>MF</x:v>
      </x:c>
      <x:c r="E23" s="28" t="n">
        <x:v>25</x:v>
      </x:c>
      <x:c r="F23" s="30" t="n">
        <x:v>14</x:v>
      </x:c>
      <x:c r="G23" s="26" t="str">
        <x:v>2025/26</x:v>
      </x:c>
      <x:c r="H23" s="26" t="str">
        <x:v>Scottish Premiership</x:v>
      </x:c>
      <x:c r="I23" s="26" t="str">
        <x:v>Celtic</x:v>
      </x:c>
      <x:c r="J23" s="28" t="n">
        <x:v>38</x:v>
      </x:c>
      <x:c r="K23" s="28" t="n">
        <x:v>29</x:v>
      </x:c>
      <x:c r="L23" s="28" t="n">
        <x:v>2536</x:v>
      </x:c>
      <x:c r="M23" s="28" t="n">
        <x:v>16</x:v>
      </x:c>
      <x:c r="N23" s="28" t="n">
        <x:v>5</x:v>
      </x:c>
      <x:c r="O23" s="28" t="n">
        <x:f>IF(COUNT(M23:N23)&lt;2,"",SUM(M23:N23))</x:f>
        <x:v>21</x:v>
      </x:c>
      <x:c r="P23" s="32" t="n">
        <x:f>IF(OR(COUNT(L23)=0,L23=0,COUNT(O23)=0),"",O23*90/L23)</x:f>
        <x:v>0.7452681388012619</x:v>
      </x:c>
      <x:c r="Q23" s="26" t="str">
        <x:v>完全</x:v>
      </x:c>
      <x:c r="R23" s="26" t="str">
        <x:v>https://www.transfermarkt.com/sweden/kader/verein/3557/saison_id/2026</x:v>
      </x:c>
      <x:c r="S23" s="26" t="str">
        <x:v>FBref</x:v>
      </x:c>
      <x:c r="T23" s="26" t="str">
        <x:v>https://fbref.com/en/players/d6ebf67f/</x:v>
      </x:c>
      <x:c r="U23" s="26"/>
    </x:row>
    <x:row r="24">
      <x:c r="A24" s="26" t="str">
        <x:v>スウェーデン</x:v>
      </x:c>
      <x:c r="B24" s="26" t="str">
        <x:v>Taha Ali</x:v>
      </x:c>
      <x:c r="C24" s="26" t="str">
        <x:v>左ウイング</x:v>
      </x:c>
      <x:c r="D24" s="26" t="str">
        <x:v>FW</x:v>
      </x:c>
      <x:c r="E24" s="28" t="n">
        <x:v>28</x:v>
      </x:c>
      <x:c r="F24" s="30" t="n">
        <x:v>1.5</x:v>
      </x:c>
      <x:c r="G24" s="26" t="str">
        <x:v>2025</x:v>
      </x:c>
      <x:c r="H24" s="26" t="str">
        <x:v>Allsvenskan</x:v>
      </x:c>
      <x:c r="I24" s="26" t="str">
        <x:v>Malmö FF</x:v>
      </x:c>
      <x:c r="J24" s="28" t="n">
        <x:v>26</x:v>
      </x:c>
      <x:c r="K24" s="28" t="n">
        <x:v>14</x:v>
      </x:c>
      <x:c r="L24" s="28" t="n">
        <x:v>1507</x:v>
      </x:c>
      <x:c r="M24" s="28" t="n">
        <x:v>2</x:v>
      </x:c>
      <x:c r="N24" s="28" t="n">
        <x:v>2</x:v>
      </x:c>
      <x:c r="O24" s="28" t="n">
        <x:f>IF(COUNT(M24:N24)&lt;2,"",SUM(M24:N24))</x:f>
        <x:v>4</x:v>
      </x:c>
      <x:c r="P24" s="32" t="n">
        <x:f>IF(OR(COUNT(L24)=0,L24=0,COUNT(O24)=0),"",O24*90/L24)</x:f>
        <x:v>0.23888520238885202</x:v>
      </x:c>
      <x:c r="Q24" s="26" t="str">
        <x:v>完全</x:v>
      </x:c>
      <x:c r="R24" s="26" t="str">
        <x:v>https://www.transfermarkt.com/sweden/kader/verein/3557/saison_id/2026</x:v>
      </x:c>
      <x:c r="S24" s="26" t="str">
        <x:v>FBref</x:v>
      </x:c>
      <x:c r="T24" s="26" t="str">
        <x:v>https://fbref.com/en/players/da4b8a4e/</x:v>
      </x:c>
      <x:c r="U24" s="26"/>
    </x:row>
    <x:row r="25">
      <x:c r="A25" s="26" t="str">
        <x:v>スウェーデン</x:v>
      </x:c>
      <x:c r="B25" s="26" t="str">
        <x:v>Anthony Elanga</x:v>
      </x:c>
      <x:c r="C25" s="26" t="str">
        <x:v>右ウイング</x:v>
      </x:c>
      <x:c r="D25" s="26" t="str">
        <x:v>FW</x:v>
      </x:c>
      <x:c r="E25" s="28" t="n">
        <x:v>24</x:v>
      </x:c>
      <x:c r="F25" s="30" t="n">
        <x:v>32</x:v>
      </x:c>
      <x:c r="G25" s="26" t="str">
        <x:v>2025/26</x:v>
      </x:c>
      <x:c r="H25" s="26" t="str">
        <x:v>Premier League</x:v>
      </x:c>
      <x:c r="I25" s="26" t="str">
        <x:v>Newcastle United</x:v>
      </x:c>
      <x:c r="J25" s="28" t="n">
        <x:v>32</x:v>
      </x:c>
      <x:c r="K25" s="28"/>
      <x:c r="L25" s="28" t="n">
        <x:v>1319</x:v>
      </x:c>
      <x:c r="M25" s="28" t="n">
        <x:v>0</x:v>
      </x:c>
      <x:c r="N25" s="28" t="n">
        <x:v>1</x:v>
      </x:c>
      <x:c r="O25" s="28" t="n">
        <x:f>IF(COUNT(M25:N25)&lt;2,"",SUM(M25:N25))</x:f>
        <x:v>1</x:v>
      </x:c>
      <x:c r="P25" s="32" t="n">
        <x:f>IF(OR(COUNT(L25)=0,L25=0,COUNT(O25)=0),"",O25*90/L25)</x:f>
        <x:v>0.06823351023502654</x:v>
      </x:c>
      <x:c r="Q25" s="26" t="str">
        <x:v>一部</x:v>
      </x:c>
      <x:c r="R25" s="26" t="str">
        <x:v>https://www.transfermarkt.com/sweden/kader/verein/3557/saison_id/2026</x:v>
      </x:c>
      <x:c r="S25" s="26" t="str">
        <x:v>FBref</x:v>
      </x:c>
      <x:c r="T25" s="26" t="str">
        <x:v>https://fbref.com/en/players/2fba6108/Anthony-Elanga</x:v>
      </x:c>
      <x:c r="U25" s="26" t="str">
        <x:v>Starts not reliably verified in source snapshot.</x:v>
      </x:c>
    </x:row>
    <x:row r="26">
      <x:c r="A26" s="26" t="str">
        <x:v>スウェーデン</x:v>
      </x:c>
      <x:c r="B26" s="26" t="str">
        <x:v>Alexander Bernhardsson</x:v>
      </x:c>
      <x:c r="C26" s="26" t="str">
        <x:v>右ウイング</x:v>
      </x:c>
      <x:c r="D26" s="26" t="str">
        <x:v>FW</x:v>
      </x:c>
      <x:c r="E26" s="28" t="n">
        <x:v>27</x:v>
      </x:c>
      <x:c r="F26" s="30" t="n">
        <x:v>3</x:v>
      </x:c>
      <x:c r="G26" s="26" t="str">
        <x:v>2025/26</x:v>
      </x:c>
      <x:c r="H26" s="26" t="str">
        <x:v>2. Bundesliga</x:v>
      </x:c>
      <x:c r="I26" s="26" t="str">
        <x:v>Holstein Kiel</x:v>
      </x:c>
      <x:c r="J26" s="28" t="n">
        <x:v>20</x:v>
      </x:c>
      <x:c r="K26" s="28"/>
      <x:c r="L26" s="28"/>
      <x:c r="M26" s="28" t="n">
        <x:v>2</x:v>
      </x:c>
      <x:c r="N26" s="28" t="n">
        <x:v>2</x:v>
      </x:c>
      <x:c r="O26" s="28" t="n">
        <x:f>IF(COUNT(M26:N26)&lt;2,"",SUM(M26:N26))</x:f>
        <x:v>4</x:v>
      </x:c>
      <x:c r="P26" s="32" t="str">
        <x:f>IF(OR(COUNT(L26)=0,L26=0,COUNT(O26)=0),"",O26*90/L26)</x:f>
      </x:c>
      <x:c r="Q26" s="26" t="str">
        <x:v>一部</x:v>
      </x:c>
      <x:c r="R26" s="26" t="str">
        <x:v>https://www.transfermarkt.com/sweden/kader/verein/3557/saison_id/2026</x:v>
      </x:c>
      <x:c r="S26" s="26" t="str">
        <x:v>DFB Datencenter</x:v>
      </x:c>
      <x:c r="T26" s="26" t="str">
        <x:v>https://datencenter.dfb.de/personen/alexander-bernhardsson/spieler</x:v>
      </x:c>
      <x:c r="U26" s="26" t="str">
        <x:v>Apps/goals from DFB; starts/minutes absent in retrieved summary.</x:v>
      </x:c>
    </x:row>
    <x:row r="27">
      <x:c r="A27" s="26" t="str">
        <x:v>スウェーデン</x:v>
      </x:c>
      <x:c r="B27" s="26" t="str">
        <x:v>Alexander Isak</x:v>
      </x:c>
      <x:c r="C27" s="26" t="str">
        <x:v>センターフォワード</x:v>
      </x:c>
      <x:c r="D27" s="26" t="str">
        <x:v>FW</x:v>
      </x:c>
      <x:c r="E27" s="28" t="n">
        <x:v>26</x:v>
      </x:c>
      <x:c r="F27" s="30" t="n">
        <x:v>85</x:v>
      </x:c>
      <x:c r="G27" s="26" t="str">
        <x:v>2025/26</x:v>
      </x:c>
      <x:c r="H27" s="26" t="str">
        <x:v>Premier League</x:v>
      </x:c>
      <x:c r="I27" s="26" t="str">
        <x:v>Liverpool</x:v>
      </x:c>
      <x:c r="J27" s="28" t="n">
        <x:v>22</x:v>
      </x:c>
      <x:c r="K27" s="28"/>
      <x:c r="L27" s="28"/>
      <x:c r="M27" s="28" t="n">
        <x:v>4</x:v>
      </x:c>
      <x:c r="N27" s="28" t="n">
        <x:v>1</x:v>
      </x:c>
      <x:c r="O27" s="28" t="n">
        <x:f>IF(COUNT(M27:N27)&lt;2,"",SUM(M27:N27))</x:f>
        <x:v>5</x:v>
      </x:c>
      <x:c r="P27" s="32" t="str">
        <x:f>IF(OR(COUNT(L27)=0,L27=0,COUNT(O27)=0),"",O27*90/L27)</x:f>
      </x:c>
      <x:c r="Q27" s="26" t="str">
        <x:v>一部</x:v>
      </x:c>
      <x:c r="R27" s="26" t="str">
        <x:v>https://www.transfermarkt.com/sweden/kader/verein/3557/saison_id/2026</x:v>
      </x:c>
      <x:c r="S27" s="26" t="str">
        <x:v>Recent season reports</x:v>
      </x:c>
      <x:c r="T27" s="26" t="str">
        <x:v>https://www.thetimes.com/sport/football/article/alexander-isak-liverpool-premier-league-28dmmmlc9</x:v>
      </x:c>
      <x:c r="U27" s="26" t="str">
        <x:v>Injury-affected season; reports confirm 22 apps, 4 goals, 1 assist.</x:v>
      </x:c>
    </x:row>
    <x:row r="28">
      <x:c r="A28" s="26" t="str">
        <x:v>スウェーデン</x:v>
      </x:c>
      <x:c r="B28" s="26" t="str">
        <x:v>Viktor Gyökeres</x:v>
      </x:c>
      <x:c r="C28" s="26" t="str">
        <x:v>センターフォワード</x:v>
      </x:c>
      <x:c r="D28" s="26" t="str">
        <x:v>FW</x:v>
      </x:c>
      <x:c r="E28" s="28" t="n">
        <x:v>28</x:v>
      </x:c>
      <x:c r="F28" s="30" t="n">
        <x:v>65</x:v>
      </x:c>
      <x:c r="G28" s="26" t="str">
        <x:v>2025/26</x:v>
      </x:c>
      <x:c r="H28" s="26" t="str">
        <x:v>Premier League</x:v>
      </x:c>
      <x:c r="I28" s="26" t="str">
        <x:v>Arsenal</x:v>
      </x:c>
      <x:c r="J28" s="28" t="n">
        <x:v>36</x:v>
      </x:c>
      <x:c r="K28" s="28" t="n">
        <x:v>26</x:v>
      </x:c>
      <x:c r="L28" s="28" t="n">
        <x:v>2224</x:v>
      </x:c>
      <x:c r="M28" s="28" t="n">
        <x:v>14</x:v>
      </x:c>
      <x:c r="N28" s="28" t="n">
        <x:v>1</x:v>
      </x:c>
      <x:c r="O28" s="28" t="n">
        <x:f>IF(COUNT(M28:N28)&lt;2,"",SUM(M28:N28))</x:f>
        <x:v>15</x:v>
      </x:c>
      <x:c r="P28" s="32" t="n">
        <x:f>IF(OR(COUNT(L28)=0,L28=0,COUNT(O28)=0),"",O28*90/L28)</x:f>
        <x:v>0.6070143884892086</x:v>
      </x:c>
      <x:c r="Q28" s="26" t="str">
        <x:v>完全</x:v>
      </x:c>
      <x:c r="R28" s="26" t="str">
        <x:v>https://www.transfermarkt.com/sweden/kader/verein/3557/saison_id/2026</x:v>
      </x:c>
      <x:c r="S28" s="26" t="str">
        <x:v>FBref</x:v>
      </x:c>
      <x:c r="T28" s="26" t="str">
        <x:v>https://fbref.com/en/players/4d5a9185/Viktor-Gyokeres</x:v>
      </x:c>
      <x:c r="U28" s="26"/>
    </x:row>
    <x:row r="29">
      <x:c r="A29" s="26" t="str">
        <x:v>スウェーデン</x:v>
      </x:c>
      <x:c r="B29" s="26" t="str">
        <x:v>Gustaf Nilsson</x:v>
      </x:c>
      <x:c r="C29" s="26" t="str">
        <x:v>センターフォワード</x:v>
      </x:c>
      <x:c r="D29" s="26" t="str">
        <x:v>FW</x:v>
      </x:c>
      <x:c r="E29" s="28" t="n">
        <x:v>29</x:v>
      </x:c>
      <x:c r="F29" s="30" t="n">
        <x:v>1.8</x:v>
      </x:c>
      <x:c r="G29" s="26" t="str">
        <x:v>2025/26</x:v>
      </x:c>
      <x:c r="H29" s="26" t="str">
        <x:v>Belgian Pro League</x:v>
      </x:c>
      <x:c r="I29" s="26" t="str">
        <x:v>Club Brugge</x:v>
      </x:c>
      <x:c r="J29" s="28" t="n">
        <x:v>7</x:v>
      </x:c>
      <x:c r="K29" s="28" t="n">
        <x:v>0</x:v>
      </x:c>
      <x:c r="L29" s="28" t="n">
        <x:v>39</x:v>
      </x:c>
      <x:c r="M29" s="28" t="n">
        <x:v>0</x:v>
      </x:c>
      <x:c r="N29" s="28" t="n">
        <x:v>0</x:v>
      </x:c>
      <x:c r="O29" s="28" t="n">
        <x:f>IF(COUNT(M29:N29)&lt;2,"",SUM(M29:N29))</x:f>
        <x:v>0</x:v>
      </x:c>
      <x:c r="P29" s="32" t="n">
        <x:f>IF(OR(COUNT(L29)=0,L29=0,COUNT(O29)=0),"",O29*90/L29)</x:f>
        <x:v>0</x:v>
      </x:c>
      <x:c r="Q29" s="26" t="str">
        <x:v>完全</x:v>
      </x:c>
      <x:c r="R29" s="26" t="str">
        <x:v>https://www.transfermarkt.com/sweden/kader/verein/3557/saison_id/2026</x:v>
      </x:c>
      <x:c r="S29" s="26" t="str">
        <x:v>Opta Analyst</x:v>
      </x:c>
      <x:c r="T29" s="26" t="str">
        <x:v>https://theanalyst.com/players/8084/gustaf-nilsson/career</x:v>
      </x:c>
      <x:c r="U29" s="26"/>
    </x:row>
  </x:sheetData>
  <x:mergeCells>
    <x:mergeCell ref="A1:U1"/>
    <x:mergeCell ref="A2:U2"/>
  </x:mergeCells>
  <x:conditionalFormatting sqref="F4:F2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{E828FCCC-EC2D-D8A8-FEB0-741E13BCC9C2}</x14:id>
        </x:ext>
      </x:extLst>
    </x:cfRule>
  </x:conditionalFormatting>
  <x:conditionalFormatting sqref="P4:P29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0761882efa14de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828FCCC-EC2D-D8A8-FEB0-741E13BCC9C2}">
            <x14:dataBar gradient="1">
              <x14:cfvo type="min"/>
              <x14:cfvo type="max"/>
              <x14:fillColor rgb="FF4F81BD"/>
            </x14:dataBar>
          </x14:cfRule>
          <xm:sqref>F4:F29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38" hidden="0" customWidth="1"/>
    <x:col min="4" max="4" width="52" hidden="0" customWidth="1"/>
  </x:cols>
  <x:sheetData>
    <x:row r="1">
      <x:c r="A1" s="46" t="str">
        <x:v>出典・集計方法</x:v>
      </x:c>
      <x:c r="B1" s="46"/>
      <x:c r="C1" s="46"/>
      <x:c r="D1" s="46"/>
    </x:row>
    <x:row r="2">
      <x:c r="A2" s="41"/>
      <x:c r="B2" s="41"/>
      <x:c r="C2" s="41"/>
      <x:c r="D2" s="41"/>
    </x:row>
    <x:row r="3">
      <x:c r="A3" s="40" t="str">
        <x:v>項目</x:v>
      </x:c>
      <x:c r="B3" s="40" t="str">
        <x:v>定義・ルール</x:v>
      </x:c>
      <x:c r="C3" s="41"/>
      <x:c r="D3" s="41"/>
    </x:row>
    <x:row r="4">
      <x:c r="A4" s="41" t="str">
        <x:v>作成日</x:v>
      </x:c>
      <x:c r="B4" s="41" t="str">
        <x:v>2026-08-27</x:v>
      </x:c>
      <x:c r="C4" s="41"/>
      <x:c r="D4" s="41"/>
    </x:row>
    <x:row r="5">
      <x:c r="A5" s="41" t="str">
        <x:v>対象選手</x:v>
      </x:c>
      <x:c r="B5" s="41" t="str">
        <x:v>各国26名、計104名。2026年代表スカッドをワールドカップAI用の選手プールとして使用。</x:v>
      </x:c>
      <x:c r="C5" s="41"/>
      <x:c r="D5" s="41"/>
    </x:row>
    <x:row r="6">
      <x:c r="A6" s="41" t="str">
        <x:v>市場価値</x:v>
      </x:c>
      <x:c r="B6" s="41" t="str">
        <x:v>Transfermarkt掲載値。単位は百万ユーロ（€m）。</x:v>
      </x:c>
      <x:c r="C6" s="41"/>
      <x:c r="D6" s="41"/>
    </x:row>
    <x:row r="7">
      <x:c r="A7" s="41" t="str">
        <x:v>シーズン基準</x:v>
      </x:c>
      <x:c r="B7" s="41" t="str">
        <x:v>欧州の秋春制リーグは原則2025/26。J1・Allsvenskan・MLS・ブラジルなど春秋制は原則2025。</x:v>
      </x:c>
      <x:c r="C7" s="41"/>
      <x:c r="D7" s="41"/>
    </x:row>
    <x:row r="8">
      <x:c r="A8" s="41" t="str">
        <x:v>移籍選手</x:v>
      </x:c>
      <x:c r="B8" s="41" t="str">
        <x:v>同一シーズン中に複数クラブ・リーグへ所属した場合、リーグ戦成績を合算し、所属欄に複数クラブを記載。</x:v>
      </x:c>
      <x:c r="C8" s="41"/>
      <x:c r="D8" s="41"/>
    </x:row>
    <x:row r="9">
      <x:c r="A9" s="41" t="str">
        <x:v>空欄の扱い</x:v>
      </x:c>
      <x:c r="B9" s="41" t="str">
        <x:v>空欄は「0」ではなく、取得元で確実に確認できなかった値。AI処理では欠損値として扱う。</x:v>
      </x:c>
      <x:c r="C9" s="41"/>
      <x:c r="D9" s="41"/>
    </x:row>
    <x:row r="10">
      <x:c r="A10" s="41" t="str">
        <x:v>G+A</x:v>
      </x:c>
      <x:c r="B10" s="41" t="str">
        <x:v>得点 + アシスト。</x:v>
      </x:c>
      <x:c r="C10" s="41"/>
      <x:c r="D10" s="41"/>
    </x:row>
    <x:row r="11">
      <x:c r="A11" s="41" t="str">
        <x:v>90分あたりG+A</x:v>
      </x:c>
      <x:c r="B11" s="41" t="str">
        <x:v>(得点 + アシスト) × 90 ÷ 出場時間。出場時間不明の場合は空欄。</x:v>
      </x:c>
      <x:c r="C11" s="41"/>
      <x:c r="D11" s="41"/>
    </x:row>
    <x:row r="12">
      <x:c r="A12" s="41" t="str">
        <x:v>データ充足度</x:v>
      </x:c>
      <x:c r="B12" s="41" t="str">
        <x:v>完全 = 出場・先発・時間・得点・アシストがすべて取得済み。一部 = いずれかが未取得。</x:v>
      </x:c>
      <x:c r="C12" s="41"/>
      <x:c r="D12" s="41"/>
    </x:row>
    <x:row r="13">
      <x:c r="A13" s="41" t="str">
        <x:v>注意事項</x:v>
      </x:c>
      <x:c r="B13" s="41" t="str">
        <x:v>データ提供元によって、更新時刻・プレーオフ・大会定義などの違いから数試合・数分程度の差が出る場合があります。</x:v>
      </x:c>
      <x:c r="C13" s="41"/>
      <x:c r="D13" s="41"/>
    </x:row>
    <x:row r="14">
      <x:c r="A14" s="41"/>
      <x:c r="B14" s="41"/>
      <x:c r="C14" s="41"/>
      <x:c r="D14" s="41"/>
    </x:row>
    <x:row r="15">
      <x:c r="A15" s="41"/>
      <x:c r="B15" s="41"/>
      <x:c r="C15" s="41"/>
      <x:c r="D15" s="41"/>
    </x:row>
    <x:row r="16">
      <x:c r="A16" s="40" t="str">
        <x:v>国</x:v>
      </x:c>
      <x:c r="B16" s="40" t="str">
        <x:v>市場価値の主出典</x:v>
      </x:c>
      <x:c r="C16" s="40" t="str">
        <x:v>スタッツの主出典</x:v>
      </x:c>
      <x:c r="D16" s="40" t="str">
        <x:v>補足</x:v>
      </x:c>
    </x:row>
    <x:row r="17">
      <x:c r="A17" s="41" t="str">
        <x:v>日本</x:v>
      </x:c>
      <x:c r="B17" s="41" t="str">
        <x:v>https://www.transfermarkt.us/japan/kader/verein/3435/saison_id/2026</x:v>
      </x:c>
      <x:c r="C17" s="41" t="str">
        <x:v>FBref / Transfermarkt</x:v>
      </x:c>
      <x:c r="D17" s="41" t="str">
        <x:v>J1所属選手は2025、欧州組は主に2025/26。</x:v>
      </x:c>
    </x:row>
    <x:row r="18">
      <x:c r="A18" s="41" t="str">
        <x:v>オランダ</x:v>
      </x:c>
      <x:c r="B18" s="41" t="str">
        <x:v>https://www.transfermarkt.us/netherlands/kader/verein/3379</x:v>
      </x:c>
      <x:c r="C18" s="41" t="str">
        <x:v>FBref / Opta Analyst / Transfermarkt</x:v>
      </x:c>
      <x:c r="D18" s="41" t="str">
        <x:v>Memphis Depayは2025ブラジルSérie A。</x:v>
      </x:c>
    </x:row>
    <x:row r="19">
      <x:c r="A19" s="41" t="str">
        <x:v>チュニジア</x:v>
      </x:c>
      <x:c r="B19" s="41" t="str">
        <x:v>https://www.transfermarkt.us/tunisia/kader/verein/3670/saison_id/2026</x:v>
      </x:c>
      <x:c r="C19" s="41" t="str">
        <x:v>Transfermarkt / FBref / Opta Analyst / GioScore</x:v>
      </x:c>
      <x:c r="D19" s="41" t="str">
        <x:v>国内リーグは提供元による差が比較的出やすいため備考を参照。</x:v>
      </x:c>
    </x:row>
    <x:row r="20">
      <x:c r="A20" s="41" t="str">
        <x:v>スウェーデン</x:v>
      </x:c>
      <x:c r="B20" s="41" t="str">
        <x:v>https://www.transfermarkt.com/sweden/kader/verein/3557/saison_id/2026</x:v>
      </x:c>
      <x:c r="C20" s="41" t="str">
        <x:v>FBref / Opta Analyst / Transfermarkt / DFB</x:v>
      </x:c>
      <x:c r="D20" s="41" t="str">
        <x:v>Allsvenskan所属選手は2025、欧州組は主に2025/26。</x:v>
      </x:c>
    </x:row>
    <x:row r="21">
      <x:c r="A21" s="41"/>
      <x:c r="B21" s="41"/>
      <x:c r="C21" s="41"/>
      <x:c r="D21" s="41"/>
    </x:row>
    <x:row r="22">
      <x:c r="A22" s="40" t="str">
        <x:v>AIで使いやすい列</x:v>
      </x:c>
      <x:c r="B22" s="40" t="str">
        <x:v>用途</x:v>
      </x:c>
      <x:c r="C22" s="41"/>
      <x:c r="D22" s="41"/>
    </x:row>
    <x:row r="23">
      <x:c r="A23" s="41" t="str">
        <x:v>Market Value (€m)</x:v>
      </x:c>
      <x:c r="B23" s="41" t="str">
        <x:v>選手の市場評価・期待値の代理指標。</x:v>
      </x:c>
      <x:c r="C23" s="41"/>
      <x:c r="D23" s="41"/>
    </x:row>
    <x:row r="24">
      <x:c r="A24" s="41" t="str">
        <x:v>Minutes</x:v>
      </x:c>
      <x:c r="B24" s="41" t="str">
        <x:v>出場数より実働量を評価しやすい。</x:v>
      </x:c>
      <x:c r="C24" s="41"/>
      <x:c r="D24" s="41"/>
    </x:row>
    <x:row r="25">
      <x:c r="A25" s="41" t="str">
        <x:v>G+A / 90</x:v>
      </x:c>
      <x:c r="B25" s="41" t="str">
        <x:v>攻撃生産性の簡易指標。ポジション差を考慮して使用。</x:v>
      </x:c>
      <x:c r="C25" s="41"/>
      <x:c r="D25" s="41"/>
    </x:row>
    <x:row r="26">
      <x:c r="A26" s="41" t="str">
        <x:v>Pos Group</x:v>
      </x:c>
      <x:c r="B26" s="41" t="str">
        <x:v>GK / DF / MF / FW の大分類。</x:v>
      </x:c>
      <x:c r="C26" s="41"/>
      <x:c r="D26" s="41"/>
    </x:row>
    <x:row r="27">
      <x:c r="A27" s="41" t="str">
        <x:v>Stats Coverage</x:v>
      </x:c>
      <x:c r="B27" s="41" t="str">
        <x:v>欠損行を除外・補完する際の判定に使用。</x:v>
      </x:c>
      <x:c r="C27" s="41"/>
      <x:c r="D27" s="41"/>
    </x:row>
    <x:row r="28">
      <x:c r="A28" s="41" t="str">
        <x:v>Notes</x:v>
      </x:c>
      <x:c r="B28" s="41" t="str">
        <x:v>移籍合算や特殊ケースを確認するための補足。</x:v>
      </x:c>
      <x:c r="C28" s="41"/>
      <x:c r="D28" s="41"/>
    </x:row>
    <x:row r="29">
      <x:c r="A29" s="41"/>
      <x:c r="B29" s="41"/>
      <x:c r="C29" s="41"/>
      <x:c r="D29" s="41"/>
    </x:row>
    <x:row r="30">
      <x:c r="A30" s="41"/>
      <x:c r="B30" s="41"/>
      <x:c r="C30" s="41"/>
      <x:c r="D30" s="41"/>
    </x:row>
  </x:sheetData>
  <x:mergeCells>
    <x:mergeCell ref="A1:D1"/>
  </x:mergeCells>
  <x:pageMargins left="0.7" right="0.7" top="0.75" bottom="0.75" header="0.3" footer="0.3"/>
</x:worksheet>
</file>